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https://d.docs.live.net/750b502e9f442ff7/Assignment Working/Sem 2/MIS171 – Business Analytics/"/>
    </mc:Choice>
  </mc:AlternateContent>
  <xr:revisionPtr revIDLastSave="560" documentId="14_{E1981CEB-4100-46DB-91E2-C35721253365}" xr6:coauthVersionLast="47" xr6:coauthVersionMax="47" xr10:uidLastSave="{D6BC6CD4-8273-4B1F-852E-95F4CA4C3368}"/>
  <bookViews>
    <workbookView xWindow="-108" yWindow="-108" windowWidth="23256" windowHeight="12456" firstSheet="1" activeTab="2" xr2:uid="{B340C459-4D06-4335-B213-529FEF0070FE}"/>
  </bookViews>
  <sheets>
    <sheet name="Data Description" sheetId="2" r:id="rId1"/>
    <sheet name="EcoCharge Solutions Dataset" sheetId="1" r:id="rId2"/>
    <sheet name="Dashboard" sheetId="3" r:id="rId3"/>
    <sheet name="Chart 1" sheetId="4" r:id="rId4"/>
    <sheet name="Chart 2" sheetId="5" r:id="rId5"/>
    <sheet name="Chart 3" sheetId="6" r:id="rId6"/>
    <sheet name="Chart 4" sheetId="7" r:id="rId7"/>
    <sheet name="Chart 5" sheetId="8" r:id="rId8"/>
  </sheets>
  <definedNames>
    <definedName name="_xlnm._FilterDatabase" localSheetId="1" hidden="1">'EcoCharge Solutions Dataset'!$A$1:$O$722</definedName>
    <definedName name="Slicer_Charger_Type">#N/A</definedName>
    <definedName name="Slicer_Charging_Station_Location">#N/A</definedName>
    <definedName name="Slicer_Time_of_Day">#N/A</definedName>
    <definedName name="Slicer_User_Typ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 i="1" l="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2" i="1"/>
</calcChain>
</file>

<file path=xl/sharedStrings.xml><?xml version="1.0" encoding="utf-8"?>
<sst xmlns="http://schemas.openxmlformats.org/spreadsheetml/2006/main" count="4418" uniqueCount="788">
  <si>
    <t>User ID</t>
  </si>
  <si>
    <t>Vehicle Model</t>
  </si>
  <si>
    <t>Battery Capacity (kWh)</t>
  </si>
  <si>
    <t>Charging Station Location</t>
  </si>
  <si>
    <t>Energy Consumed (kWh)</t>
  </si>
  <si>
    <t>Charging Duration (hours)</t>
  </si>
  <si>
    <t>Charging Rate (kW)</t>
  </si>
  <si>
    <t>Time of Day</t>
  </si>
  <si>
    <t>State of Charge (Start %)</t>
  </si>
  <si>
    <t>State of Charge (End %)</t>
  </si>
  <si>
    <t>Vehicle Age (years)</t>
  </si>
  <si>
    <t>Charger Type</t>
  </si>
  <si>
    <t>User Type</t>
  </si>
  <si>
    <t>User_1</t>
  </si>
  <si>
    <t>Evening</t>
  </si>
  <si>
    <t>Commuter</t>
  </si>
  <si>
    <t>User_2</t>
  </si>
  <si>
    <t>Morning</t>
  </si>
  <si>
    <t>Casual Driver</t>
  </si>
  <si>
    <t>User_3</t>
  </si>
  <si>
    <t>User_4</t>
  </si>
  <si>
    <t>Long-Distance Traveler</t>
  </si>
  <si>
    <t>Nissan Leaf</t>
  </si>
  <si>
    <t>User_7</t>
  </si>
  <si>
    <t>Afternoon</t>
  </si>
  <si>
    <t>User_9</t>
  </si>
  <si>
    <t>User_10</t>
  </si>
  <si>
    <t>User_11</t>
  </si>
  <si>
    <t>Night</t>
  </si>
  <si>
    <t>User_12</t>
  </si>
  <si>
    <t>User_13</t>
  </si>
  <si>
    <t>User_14</t>
  </si>
  <si>
    <t>User_17</t>
  </si>
  <si>
    <t>User_18</t>
  </si>
  <si>
    <t>User_20</t>
  </si>
  <si>
    <t>User_21</t>
  </si>
  <si>
    <t>User_23</t>
  </si>
  <si>
    <t>User_24</t>
  </si>
  <si>
    <t>User_30</t>
  </si>
  <si>
    <t>User_33</t>
  </si>
  <si>
    <t>User_34</t>
  </si>
  <si>
    <t>User_35</t>
  </si>
  <si>
    <t>User_36</t>
  </si>
  <si>
    <t>User_38</t>
  </si>
  <si>
    <t>User_42</t>
  </si>
  <si>
    <t>User_43</t>
  </si>
  <si>
    <t>User_44</t>
  </si>
  <si>
    <t>User_47</t>
  </si>
  <si>
    <t>User_48</t>
  </si>
  <si>
    <t>User_50</t>
  </si>
  <si>
    <t>User_51</t>
  </si>
  <si>
    <t>User_55</t>
  </si>
  <si>
    <t>User_56</t>
  </si>
  <si>
    <t>User_58</t>
  </si>
  <si>
    <t>User_60</t>
  </si>
  <si>
    <t>User_61</t>
  </si>
  <si>
    <t>User_63</t>
  </si>
  <si>
    <t>User_65</t>
  </si>
  <si>
    <t>User_67</t>
  </si>
  <si>
    <t>User_72</t>
  </si>
  <si>
    <t>User_73</t>
  </si>
  <si>
    <t>User_74</t>
  </si>
  <si>
    <t>User_75</t>
  </si>
  <si>
    <t>User_78</t>
  </si>
  <si>
    <t>User_80</t>
  </si>
  <si>
    <t>User_81</t>
  </si>
  <si>
    <t>User_84</t>
  </si>
  <si>
    <t>User_85</t>
  </si>
  <si>
    <t>User_86</t>
  </si>
  <si>
    <t>User_90</t>
  </si>
  <si>
    <t>User_91</t>
  </si>
  <si>
    <t>User_92</t>
  </si>
  <si>
    <t>User_95</t>
  </si>
  <si>
    <t>User_97</t>
  </si>
  <si>
    <t>User_102</t>
  </si>
  <si>
    <t>User_106</t>
  </si>
  <si>
    <t>User_108</t>
  </si>
  <si>
    <t>User_109</t>
  </si>
  <si>
    <t>User_113</t>
  </si>
  <si>
    <t>User_114</t>
  </si>
  <si>
    <t>User_116</t>
  </si>
  <si>
    <t>User_117</t>
  </si>
  <si>
    <t>User_124</t>
  </si>
  <si>
    <t>User_125</t>
  </si>
  <si>
    <t>User_126</t>
  </si>
  <si>
    <t>User_129</t>
  </si>
  <si>
    <t>User_131</t>
  </si>
  <si>
    <t>User_133</t>
  </si>
  <si>
    <t>User_135</t>
  </si>
  <si>
    <t>User_136</t>
  </si>
  <si>
    <t>User_138</t>
  </si>
  <si>
    <t>User_139</t>
  </si>
  <si>
    <t>User_142</t>
  </si>
  <si>
    <t>User_144</t>
  </si>
  <si>
    <t>User_145</t>
  </si>
  <si>
    <t>User_146</t>
  </si>
  <si>
    <t>User_147</t>
  </si>
  <si>
    <t>User_150</t>
  </si>
  <si>
    <t>User_151</t>
  </si>
  <si>
    <t>User_152</t>
  </si>
  <si>
    <t>User_153</t>
  </si>
  <si>
    <t>User_154</t>
  </si>
  <si>
    <t>User_161</t>
  </si>
  <si>
    <t>User_162</t>
  </si>
  <si>
    <t>User_164</t>
  </si>
  <si>
    <t>User_167</t>
  </si>
  <si>
    <t>User_168</t>
  </si>
  <si>
    <t>User_170</t>
  </si>
  <si>
    <t>User_171</t>
  </si>
  <si>
    <t>User_172</t>
  </si>
  <si>
    <t>User_174</t>
  </si>
  <si>
    <t>User_175</t>
  </si>
  <si>
    <t>User_176</t>
  </si>
  <si>
    <t>User_178</t>
  </si>
  <si>
    <t>User_179</t>
  </si>
  <si>
    <t>User_180</t>
  </si>
  <si>
    <t>User_182</t>
  </si>
  <si>
    <t>User_183</t>
  </si>
  <si>
    <t>User_186</t>
  </si>
  <si>
    <t>User_188</t>
  </si>
  <si>
    <t>User_190</t>
  </si>
  <si>
    <t>User_193</t>
  </si>
  <si>
    <t>User_194</t>
  </si>
  <si>
    <t>User_195</t>
  </si>
  <si>
    <t>User_201</t>
  </si>
  <si>
    <t>User_202</t>
  </si>
  <si>
    <t>User_205</t>
  </si>
  <si>
    <t>User_206</t>
  </si>
  <si>
    <t>User_208</t>
  </si>
  <si>
    <t>User_210</t>
  </si>
  <si>
    <t>User_211</t>
  </si>
  <si>
    <t>User_212</t>
  </si>
  <si>
    <t>User_213</t>
  </si>
  <si>
    <t>User_215</t>
  </si>
  <si>
    <t>User_216</t>
  </si>
  <si>
    <t>User_217</t>
  </si>
  <si>
    <t>User_219</t>
  </si>
  <si>
    <t>User_221</t>
  </si>
  <si>
    <t>User_222</t>
  </si>
  <si>
    <t>User_227</t>
  </si>
  <si>
    <t>User_228</t>
  </si>
  <si>
    <t>User_229</t>
  </si>
  <si>
    <t>User_230</t>
  </si>
  <si>
    <t>User_232</t>
  </si>
  <si>
    <t>User_234</t>
  </si>
  <si>
    <t>User_236</t>
  </si>
  <si>
    <t>User_240</t>
  </si>
  <si>
    <t>User_241</t>
  </si>
  <si>
    <t>User_242</t>
  </si>
  <si>
    <t>User_246</t>
  </si>
  <si>
    <t>User_249</t>
  </si>
  <si>
    <t>User_250</t>
  </si>
  <si>
    <t>User_253</t>
  </si>
  <si>
    <t>User_255</t>
  </si>
  <si>
    <t>User_256</t>
  </si>
  <si>
    <t>User_261</t>
  </si>
  <si>
    <t>User_267</t>
  </si>
  <si>
    <t>User_269</t>
  </si>
  <si>
    <t>User_270</t>
  </si>
  <si>
    <t>User_273</t>
  </si>
  <si>
    <t>User_277</t>
  </si>
  <si>
    <t>User_278</t>
  </si>
  <si>
    <t>User_280</t>
  </si>
  <si>
    <t>User_281</t>
  </si>
  <si>
    <t>User_282</t>
  </si>
  <si>
    <t>User_285</t>
  </si>
  <si>
    <t>User_287</t>
  </si>
  <si>
    <t>User_288</t>
  </si>
  <si>
    <t>User_292</t>
  </si>
  <si>
    <t>User_296</t>
  </si>
  <si>
    <t>User_297</t>
  </si>
  <si>
    <t>User_298</t>
  </si>
  <si>
    <t>User_300</t>
  </si>
  <si>
    <t>User_304</t>
  </si>
  <si>
    <t>User_305</t>
  </si>
  <si>
    <t>User_306</t>
  </si>
  <si>
    <t>User_307</t>
  </si>
  <si>
    <t>User_308</t>
  </si>
  <si>
    <t>User_309</t>
  </si>
  <si>
    <t>User_310</t>
  </si>
  <si>
    <t>User_314</t>
  </si>
  <si>
    <t>User_317</t>
  </si>
  <si>
    <t>User_318</t>
  </si>
  <si>
    <t>User_322</t>
  </si>
  <si>
    <t>User_323</t>
  </si>
  <si>
    <t>User_324</t>
  </si>
  <si>
    <t>User_325</t>
  </si>
  <si>
    <t>User_328</t>
  </si>
  <si>
    <t>User_330</t>
  </si>
  <si>
    <t>User_331</t>
  </si>
  <si>
    <t>User_333</t>
  </si>
  <si>
    <t>User_335</t>
  </si>
  <si>
    <t>User_338</t>
  </si>
  <si>
    <t>User_341</t>
  </si>
  <si>
    <t>User_344</t>
  </si>
  <si>
    <t>User_345</t>
  </si>
  <si>
    <t>User_348</t>
  </si>
  <si>
    <t>User_350</t>
  </si>
  <si>
    <t>User_351</t>
  </si>
  <si>
    <t>User_352</t>
  </si>
  <si>
    <t>User_353</t>
  </si>
  <si>
    <t>User_355</t>
  </si>
  <si>
    <t>User_357</t>
  </si>
  <si>
    <t>User_359</t>
  </si>
  <si>
    <t>User_360</t>
  </si>
  <si>
    <t>User_361</t>
  </si>
  <si>
    <t>User_362</t>
  </si>
  <si>
    <t>User_364</t>
  </si>
  <si>
    <t>User_365</t>
  </si>
  <si>
    <t>User_366</t>
  </si>
  <si>
    <t>User_367</t>
  </si>
  <si>
    <t>User_368</t>
  </si>
  <si>
    <t>User_370</t>
  </si>
  <si>
    <t>User_372</t>
  </si>
  <si>
    <t>User_373</t>
  </si>
  <si>
    <t>User_374</t>
  </si>
  <si>
    <t>User_378</t>
  </si>
  <si>
    <t>User_379</t>
  </si>
  <si>
    <t>User_380</t>
  </si>
  <si>
    <t>User_383</t>
  </si>
  <si>
    <t>User_386</t>
  </si>
  <si>
    <t>User_387</t>
  </si>
  <si>
    <t>User_388</t>
  </si>
  <si>
    <t>User_390</t>
  </si>
  <si>
    <t>User_391</t>
  </si>
  <si>
    <t>User_393</t>
  </si>
  <si>
    <t>User_395</t>
  </si>
  <si>
    <t>User_396</t>
  </si>
  <si>
    <t>User_398</t>
  </si>
  <si>
    <t>User_400</t>
  </si>
  <si>
    <t>User_401</t>
  </si>
  <si>
    <t>User_402</t>
  </si>
  <si>
    <t>User_404</t>
  </si>
  <si>
    <t>User_405</t>
  </si>
  <si>
    <t>User_410</t>
  </si>
  <si>
    <t>User_412</t>
  </si>
  <si>
    <t>User_413</t>
  </si>
  <si>
    <t>User_414</t>
  </si>
  <si>
    <t>User_416</t>
  </si>
  <si>
    <t>User_417</t>
  </si>
  <si>
    <t>User_420</t>
  </si>
  <si>
    <t>User_422</t>
  </si>
  <si>
    <t>User_423</t>
  </si>
  <si>
    <t>User_426</t>
  </si>
  <si>
    <t>User_428</t>
  </si>
  <si>
    <t>User_430</t>
  </si>
  <si>
    <t>User_432</t>
  </si>
  <si>
    <t>User_433</t>
  </si>
  <si>
    <t>User_434</t>
  </si>
  <si>
    <t>User_435</t>
  </si>
  <si>
    <t>User_438</t>
  </si>
  <si>
    <t>User_439</t>
  </si>
  <si>
    <t>User_444</t>
  </si>
  <si>
    <t>User_449</t>
  </si>
  <si>
    <t>User_450</t>
  </si>
  <si>
    <t>User_452</t>
  </si>
  <si>
    <t>User_453</t>
  </si>
  <si>
    <t>User_456</t>
  </si>
  <si>
    <t>User_457</t>
  </si>
  <si>
    <t>User_458</t>
  </si>
  <si>
    <t>User_460</t>
  </si>
  <si>
    <t>User_461</t>
  </si>
  <si>
    <t>User_462</t>
  </si>
  <si>
    <t>User_463</t>
  </si>
  <si>
    <t>User_464</t>
  </si>
  <si>
    <t>User_465</t>
  </si>
  <si>
    <t>User_469</t>
  </si>
  <si>
    <t>User_471</t>
  </si>
  <si>
    <t>User_472</t>
  </si>
  <si>
    <t>User_477</t>
  </si>
  <si>
    <t>User_483</t>
  </si>
  <si>
    <t>User_485</t>
  </si>
  <si>
    <t>User_486</t>
  </si>
  <si>
    <t>User_490</t>
  </si>
  <si>
    <t>User_492</t>
  </si>
  <si>
    <t>User_493</t>
  </si>
  <si>
    <t>User_494</t>
  </si>
  <si>
    <t>User_495</t>
  </si>
  <si>
    <t>User_496</t>
  </si>
  <si>
    <t>User_497</t>
  </si>
  <si>
    <t>User_499</t>
  </si>
  <si>
    <t>User_500</t>
  </si>
  <si>
    <t>User_501</t>
  </si>
  <si>
    <t>User_502</t>
  </si>
  <si>
    <t>User_503</t>
  </si>
  <si>
    <t>User_504</t>
  </si>
  <si>
    <t>User_505</t>
  </si>
  <si>
    <t>User_507</t>
  </si>
  <si>
    <t>User_508</t>
  </si>
  <si>
    <t>User_511</t>
  </si>
  <si>
    <t>User_512</t>
  </si>
  <si>
    <t>User_515</t>
  </si>
  <si>
    <t>User_518</t>
  </si>
  <si>
    <t>User_519</t>
  </si>
  <si>
    <t>User_521</t>
  </si>
  <si>
    <t>User_522</t>
  </si>
  <si>
    <t>User_526</t>
  </si>
  <si>
    <t>User_527</t>
  </si>
  <si>
    <t>User_528</t>
  </si>
  <si>
    <t>User_529</t>
  </si>
  <si>
    <t>User_531</t>
  </si>
  <si>
    <t>User_532</t>
  </si>
  <si>
    <t>User_534</t>
  </si>
  <si>
    <t>User_537</t>
  </si>
  <si>
    <t>User_538</t>
  </si>
  <si>
    <t>User_540</t>
  </si>
  <si>
    <t>User_543</t>
  </si>
  <si>
    <t>User_545</t>
  </si>
  <si>
    <t>User_549</t>
  </si>
  <si>
    <t>User_550</t>
  </si>
  <si>
    <t>User_551</t>
  </si>
  <si>
    <t>User_552</t>
  </si>
  <si>
    <t>User_554</t>
  </si>
  <si>
    <t>User_555</t>
  </si>
  <si>
    <t>User_556</t>
  </si>
  <si>
    <t>User_559</t>
  </si>
  <si>
    <t>User_561</t>
  </si>
  <si>
    <t>User_562</t>
  </si>
  <si>
    <t>User_565</t>
  </si>
  <si>
    <t>User_570</t>
  </si>
  <si>
    <t>User_571</t>
  </si>
  <si>
    <t>User_574</t>
  </si>
  <si>
    <t>User_580</t>
  </si>
  <si>
    <t>User_581</t>
  </si>
  <si>
    <t>User_582</t>
  </si>
  <si>
    <t>User_583</t>
  </si>
  <si>
    <t>User_584</t>
  </si>
  <si>
    <t>User_585</t>
  </si>
  <si>
    <t>User_586</t>
  </si>
  <si>
    <t>User_587</t>
  </si>
  <si>
    <t>User_588</t>
  </si>
  <si>
    <t>User_589</t>
  </si>
  <si>
    <t>User_592</t>
  </si>
  <si>
    <t>User_593</t>
  </si>
  <si>
    <t>User_594</t>
  </si>
  <si>
    <t>User_596</t>
  </si>
  <si>
    <t>User_597</t>
  </si>
  <si>
    <t>User_599</t>
  </si>
  <si>
    <t>User_600</t>
  </si>
  <si>
    <t>User_604</t>
  </si>
  <si>
    <t>User_605</t>
  </si>
  <si>
    <t>User_607</t>
  </si>
  <si>
    <t>User_608</t>
  </si>
  <si>
    <t>User_609</t>
  </si>
  <si>
    <t>User_610</t>
  </si>
  <si>
    <t>User_611</t>
  </si>
  <si>
    <t>User_612</t>
  </si>
  <si>
    <t>User_613</t>
  </si>
  <si>
    <t>User_615</t>
  </si>
  <si>
    <t>User_616</t>
  </si>
  <si>
    <t>User_619</t>
  </si>
  <si>
    <t>User_621</t>
  </si>
  <si>
    <t>User_627</t>
  </si>
  <si>
    <t>User_628</t>
  </si>
  <si>
    <t>User_630</t>
  </si>
  <si>
    <t>User_631</t>
  </si>
  <si>
    <t>User_633</t>
  </si>
  <si>
    <t>User_634</t>
  </si>
  <si>
    <t>User_636</t>
  </si>
  <si>
    <t>User_637</t>
  </si>
  <si>
    <t>User_642</t>
  </si>
  <si>
    <t>User_643</t>
  </si>
  <si>
    <t>User_644</t>
  </si>
  <si>
    <t>User_645</t>
  </si>
  <si>
    <t>User_646</t>
  </si>
  <si>
    <t>User_647</t>
  </si>
  <si>
    <t>User_652</t>
  </si>
  <si>
    <t>User_656</t>
  </si>
  <si>
    <t>User_657</t>
  </si>
  <si>
    <t>User_658</t>
  </si>
  <si>
    <t>User_659</t>
  </si>
  <si>
    <t>User_661</t>
  </si>
  <si>
    <t>User_664</t>
  </si>
  <si>
    <t>User_665</t>
  </si>
  <si>
    <t>User_667</t>
  </si>
  <si>
    <t>User_668</t>
  </si>
  <si>
    <t>User_669</t>
  </si>
  <si>
    <t>User_671</t>
  </si>
  <si>
    <t>User_672</t>
  </si>
  <si>
    <t>User_673</t>
  </si>
  <si>
    <t>User_674</t>
  </si>
  <si>
    <t>User_676</t>
  </si>
  <si>
    <t>User_677</t>
  </si>
  <si>
    <t>User_678</t>
  </si>
  <si>
    <t>User_684</t>
  </si>
  <si>
    <t>User_685</t>
  </si>
  <si>
    <t>User_687</t>
  </si>
  <si>
    <t>User_690</t>
  </si>
  <si>
    <t>User_691</t>
  </si>
  <si>
    <t>User_693</t>
  </si>
  <si>
    <t>User_694</t>
  </si>
  <si>
    <t>User_695</t>
  </si>
  <si>
    <t>User_696</t>
  </si>
  <si>
    <t>User_698</t>
  </si>
  <si>
    <t>User_703</t>
  </si>
  <si>
    <t>User_705</t>
  </si>
  <si>
    <t>User_706</t>
  </si>
  <si>
    <t>User_709</t>
  </si>
  <si>
    <t>User_710</t>
  </si>
  <si>
    <t>User_712</t>
  </si>
  <si>
    <t>User_713</t>
  </si>
  <si>
    <t>User_717</t>
  </si>
  <si>
    <t>User_723</t>
  </si>
  <si>
    <t>User_724</t>
  </si>
  <si>
    <t>User_726</t>
  </si>
  <si>
    <t>User_727</t>
  </si>
  <si>
    <t>User_729</t>
  </si>
  <si>
    <t>User_730</t>
  </si>
  <si>
    <t>User_731</t>
  </si>
  <si>
    <t>User_732</t>
  </si>
  <si>
    <t>User_733</t>
  </si>
  <si>
    <t>User_734</t>
  </si>
  <si>
    <t>User_736</t>
  </si>
  <si>
    <t>User_737</t>
  </si>
  <si>
    <t>User_739</t>
  </si>
  <si>
    <t>User_740</t>
  </si>
  <si>
    <t>User_741</t>
  </si>
  <si>
    <t>User_743</t>
  </si>
  <si>
    <t>User_746</t>
  </si>
  <si>
    <t>User_748</t>
  </si>
  <si>
    <t>User_750</t>
  </si>
  <si>
    <t>User_752</t>
  </si>
  <si>
    <t>User_753</t>
  </si>
  <si>
    <t>User_754</t>
  </si>
  <si>
    <t>User_756</t>
  </si>
  <si>
    <t>User_757</t>
  </si>
  <si>
    <t>User_758</t>
  </si>
  <si>
    <t>User_759</t>
  </si>
  <si>
    <t>User_760</t>
  </si>
  <si>
    <t>User_762</t>
  </si>
  <si>
    <t>User_763</t>
  </si>
  <si>
    <t>User_764</t>
  </si>
  <si>
    <t>User_767</t>
  </si>
  <si>
    <t>User_768</t>
  </si>
  <si>
    <t>User_771</t>
  </si>
  <si>
    <t>User_772</t>
  </si>
  <si>
    <t>User_776</t>
  </si>
  <si>
    <t>User_781</t>
  </si>
  <si>
    <t>User_786</t>
  </si>
  <si>
    <t>User_787</t>
  </si>
  <si>
    <t>User_789</t>
  </si>
  <si>
    <t>User_790</t>
  </si>
  <si>
    <t>User_791</t>
  </si>
  <si>
    <t>User_792</t>
  </si>
  <si>
    <t>User_794</t>
  </si>
  <si>
    <t>User_796</t>
  </si>
  <si>
    <t>User_797</t>
  </si>
  <si>
    <t>User_799</t>
  </si>
  <si>
    <t>User_800</t>
  </si>
  <si>
    <t>User_801</t>
  </si>
  <si>
    <t>User_802</t>
  </si>
  <si>
    <t>User_804</t>
  </si>
  <si>
    <t>User_805</t>
  </si>
  <si>
    <t>User_808</t>
  </si>
  <si>
    <t>User_809</t>
  </si>
  <si>
    <t>User_810</t>
  </si>
  <si>
    <t>User_811</t>
  </si>
  <si>
    <t>User_812</t>
  </si>
  <si>
    <t>User_813</t>
  </si>
  <si>
    <t>User_817</t>
  </si>
  <si>
    <t>User_819</t>
  </si>
  <si>
    <t>User_822</t>
  </si>
  <si>
    <t>User_823</t>
  </si>
  <si>
    <t>User_824</t>
  </si>
  <si>
    <t>User_827</t>
  </si>
  <si>
    <t>User_828</t>
  </si>
  <si>
    <t>User_829</t>
  </si>
  <si>
    <t>User_830</t>
  </si>
  <si>
    <t>User_831</t>
  </si>
  <si>
    <t>User_832</t>
  </si>
  <si>
    <t>User_833</t>
  </si>
  <si>
    <t>User_837</t>
  </si>
  <si>
    <t>User_839</t>
  </si>
  <si>
    <t>User_840</t>
  </si>
  <si>
    <t>User_842</t>
  </si>
  <si>
    <t>User_843</t>
  </si>
  <si>
    <t>User_846</t>
  </si>
  <si>
    <t>User_848</t>
  </si>
  <si>
    <t>User_851</t>
  </si>
  <si>
    <t>User_852</t>
  </si>
  <si>
    <t>User_854</t>
  </si>
  <si>
    <t>User_856</t>
  </si>
  <si>
    <t>User_858</t>
  </si>
  <si>
    <t>User_860</t>
  </si>
  <si>
    <t>User_862</t>
  </si>
  <si>
    <t>User_863</t>
  </si>
  <si>
    <t>User_864</t>
  </si>
  <si>
    <t>User_868</t>
  </si>
  <si>
    <t>User_870</t>
  </si>
  <si>
    <t>User_872</t>
  </si>
  <si>
    <t>User_873</t>
  </si>
  <si>
    <t>User_874</t>
  </si>
  <si>
    <t>User_876</t>
  </si>
  <si>
    <t>User_878</t>
  </si>
  <si>
    <t>User_880</t>
  </si>
  <si>
    <t>User_882</t>
  </si>
  <si>
    <t>User_883</t>
  </si>
  <si>
    <t>User_885</t>
  </si>
  <si>
    <t>User_887</t>
  </si>
  <si>
    <t>User_889</t>
  </si>
  <si>
    <t>User_890</t>
  </si>
  <si>
    <t>User_891</t>
  </si>
  <si>
    <t>User_892</t>
  </si>
  <si>
    <t>User_893</t>
  </si>
  <si>
    <t>User_894</t>
  </si>
  <si>
    <t>User_898</t>
  </si>
  <si>
    <t>User_902</t>
  </si>
  <si>
    <t>User_903</t>
  </si>
  <si>
    <t>User_906</t>
  </si>
  <si>
    <t>User_908</t>
  </si>
  <si>
    <t>User_909</t>
  </si>
  <si>
    <t>User_912</t>
  </si>
  <si>
    <t>User_913</t>
  </si>
  <si>
    <t>User_914</t>
  </si>
  <si>
    <t>User_915</t>
  </si>
  <si>
    <t>User_917</t>
  </si>
  <si>
    <t>User_918</t>
  </si>
  <si>
    <t>User_920</t>
  </si>
  <si>
    <t>User_921</t>
  </si>
  <si>
    <t>User_924</t>
  </si>
  <si>
    <t>User_925</t>
  </si>
  <si>
    <t>User_926</t>
  </si>
  <si>
    <t>User_928</t>
  </si>
  <si>
    <t>User_931</t>
  </si>
  <si>
    <t>User_934</t>
  </si>
  <si>
    <t>User_937</t>
  </si>
  <si>
    <t>User_938</t>
  </si>
  <si>
    <t>User_939</t>
  </si>
  <si>
    <t>User_943</t>
  </si>
  <si>
    <t>User_944</t>
  </si>
  <si>
    <t>User_946</t>
  </si>
  <si>
    <t>User_947</t>
  </si>
  <si>
    <t>User_948</t>
  </si>
  <si>
    <t>User_950</t>
  </si>
  <si>
    <t>User_951</t>
  </si>
  <si>
    <t>User_952</t>
  </si>
  <si>
    <t>User_953</t>
  </si>
  <si>
    <t>User_954</t>
  </si>
  <si>
    <t>User_955</t>
  </si>
  <si>
    <t>User_956</t>
  </si>
  <si>
    <t>User_959</t>
  </si>
  <si>
    <t>User_960</t>
  </si>
  <si>
    <t>User_961</t>
  </si>
  <si>
    <t>User_962</t>
  </si>
  <si>
    <t>User_968</t>
  </si>
  <si>
    <t>User_969</t>
  </si>
  <si>
    <t>User_970</t>
  </si>
  <si>
    <t>User_973</t>
  </si>
  <si>
    <t>User_974</t>
  </si>
  <si>
    <t>User_975</t>
  </si>
  <si>
    <t>User_977</t>
  </si>
  <si>
    <t>User_978</t>
  </si>
  <si>
    <t>User_981</t>
  </si>
  <si>
    <t>User_982</t>
  </si>
  <si>
    <t>User_984</t>
  </si>
  <si>
    <t>User_987</t>
  </si>
  <si>
    <t>User_989</t>
  </si>
  <si>
    <t>User_991</t>
  </si>
  <si>
    <t>User_993</t>
  </si>
  <si>
    <t>User_994</t>
  </si>
  <si>
    <t>User_997</t>
  </si>
  <si>
    <t>User_1000</t>
  </si>
  <si>
    <t>User_1001</t>
  </si>
  <si>
    <t>User_1003</t>
  </si>
  <si>
    <t>User_1004</t>
  </si>
  <si>
    <t>User_1005</t>
  </si>
  <si>
    <t>User_1008</t>
  </si>
  <si>
    <t>User_1010</t>
  </si>
  <si>
    <t>User_1011</t>
  </si>
  <si>
    <t>User_1012</t>
  </si>
  <si>
    <t>User_1013</t>
  </si>
  <si>
    <t>User_1015</t>
  </si>
  <si>
    <t>User_1017</t>
  </si>
  <si>
    <t>User_1018</t>
  </si>
  <si>
    <t>User_1019</t>
  </si>
  <si>
    <t>User_1020</t>
  </si>
  <si>
    <t>User_1021</t>
  </si>
  <si>
    <t>User_1022</t>
  </si>
  <si>
    <t>User_1023</t>
  </si>
  <si>
    <t>User_1024</t>
  </si>
  <si>
    <t>User_1028</t>
  </si>
  <si>
    <t>User_1029</t>
  </si>
  <si>
    <t>User_1030</t>
  </si>
  <si>
    <t>User_1031</t>
  </si>
  <si>
    <t>User_1033</t>
  </si>
  <si>
    <t>User_1036</t>
  </si>
  <si>
    <t>User_1037</t>
  </si>
  <si>
    <t>User_1039</t>
  </si>
  <si>
    <t>User_1040</t>
  </si>
  <si>
    <t>User_1042</t>
  </si>
  <si>
    <t>User_1046</t>
  </si>
  <si>
    <t>User_1048</t>
  </si>
  <si>
    <t>User_1050</t>
  </si>
  <si>
    <t>User_1051</t>
  </si>
  <si>
    <t>User_1054</t>
  </si>
  <si>
    <t>User_1056</t>
  </si>
  <si>
    <t>User_1058</t>
  </si>
  <si>
    <t>User_1059</t>
  </si>
  <si>
    <t>User_1061</t>
  </si>
  <si>
    <t>User_1063</t>
  </si>
  <si>
    <t>User_1064</t>
  </si>
  <si>
    <t>User_1066</t>
  </si>
  <si>
    <t>User_1067</t>
  </si>
  <si>
    <t>User_1069</t>
  </si>
  <si>
    <t>User_1070</t>
  </si>
  <si>
    <t>User_1076</t>
  </si>
  <si>
    <t>User_1077</t>
  </si>
  <si>
    <t>User_1078</t>
  </si>
  <si>
    <t>User_1079</t>
  </si>
  <si>
    <t>User_1081</t>
  </si>
  <si>
    <t>User_1086</t>
  </si>
  <si>
    <t>User_1088</t>
  </si>
  <si>
    <t>User_1094</t>
  </si>
  <si>
    <t>User_1096</t>
  </si>
  <si>
    <t>User_1097</t>
  </si>
  <si>
    <t>User_1098</t>
  </si>
  <si>
    <t>User_1100</t>
  </si>
  <si>
    <t>User_1104</t>
  </si>
  <si>
    <t>User_1107</t>
  </si>
  <si>
    <t>User_1109</t>
  </si>
  <si>
    <t>User_1110</t>
  </si>
  <si>
    <t>User_1111</t>
  </si>
  <si>
    <t>User_1115</t>
  </si>
  <si>
    <t>User_1117</t>
  </si>
  <si>
    <t>User_1118</t>
  </si>
  <si>
    <t>User_1121</t>
  </si>
  <si>
    <t>User_1122</t>
  </si>
  <si>
    <t>User_1126</t>
  </si>
  <si>
    <t>User_1127</t>
  </si>
  <si>
    <t>User_1130</t>
  </si>
  <si>
    <t>User_1131</t>
  </si>
  <si>
    <t>User_1132</t>
  </si>
  <si>
    <t>User_1134</t>
  </si>
  <si>
    <t>User_1135</t>
  </si>
  <si>
    <t>User_1137</t>
  </si>
  <si>
    <t>User_1141</t>
  </si>
  <si>
    <t>User_1142</t>
  </si>
  <si>
    <t>User_1143</t>
  </si>
  <si>
    <t>User_1144</t>
  </si>
  <si>
    <t>User_1145</t>
  </si>
  <si>
    <t>User_1146</t>
  </si>
  <si>
    <t>User_1152</t>
  </si>
  <si>
    <t>User_1154</t>
  </si>
  <si>
    <t>User_1155</t>
  </si>
  <si>
    <t>User_1156</t>
  </si>
  <si>
    <t>User_1157</t>
  </si>
  <si>
    <t>User_1158</t>
  </si>
  <si>
    <t>User_1159</t>
  </si>
  <si>
    <t>User_1160</t>
  </si>
  <si>
    <t>User_1161</t>
  </si>
  <si>
    <t>User_1162</t>
  </si>
  <si>
    <t>User_1164</t>
  </si>
  <si>
    <t>User_1165</t>
  </si>
  <si>
    <t>User_1166</t>
  </si>
  <si>
    <t>User_1167</t>
  </si>
  <si>
    <t>User_1168</t>
  </si>
  <si>
    <t>User_1170</t>
  </si>
  <si>
    <t>User_1171</t>
  </si>
  <si>
    <t>User_1172</t>
  </si>
  <si>
    <t>User_1173</t>
  </si>
  <si>
    <t>User_1174</t>
  </si>
  <si>
    <t>User_1177</t>
  </si>
  <si>
    <t>User_1179</t>
  </si>
  <si>
    <t>User_1180</t>
  </si>
  <si>
    <t>User_1181</t>
  </si>
  <si>
    <t>User_1183</t>
  </si>
  <si>
    <t>User_1184</t>
  </si>
  <si>
    <t>User_1186</t>
  </si>
  <si>
    <t>User_1187</t>
  </si>
  <si>
    <t>User_1193</t>
  </si>
  <si>
    <t>User_1194</t>
  </si>
  <si>
    <t>User_1195</t>
  </si>
  <si>
    <t>User_1196</t>
  </si>
  <si>
    <t>User_1197</t>
  </si>
  <si>
    <t>User_1198</t>
  </si>
  <si>
    <t>User_1199</t>
  </si>
  <si>
    <t>User_1200</t>
  </si>
  <si>
    <t>User_1201</t>
  </si>
  <si>
    <t>User_1202</t>
  </si>
  <si>
    <t>User_1206</t>
  </si>
  <si>
    <t>User_1210</t>
  </si>
  <si>
    <t>User_1214</t>
  </si>
  <si>
    <t>User_1216</t>
  </si>
  <si>
    <t>User_1217</t>
  </si>
  <si>
    <t>User_1218</t>
  </si>
  <si>
    <t>User_1219</t>
  </si>
  <si>
    <t>User_1221</t>
  </si>
  <si>
    <t>User_1225</t>
  </si>
  <si>
    <t>User_1228</t>
  </si>
  <si>
    <t>User_1229</t>
  </si>
  <si>
    <t>User_1230</t>
  </si>
  <si>
    <t>User_1231</t>
  </si>
  <si>
    <t>User_1233</t>
  </si>
  <si>
    <t>User_1238</t>
  </si>
  <si>
    <t>User_1239</t>
  </si>
  <si>
    <t>User_1240</t>
  </si>
  <si>
    <t>User_1241</t>
  </si>
  <si>
    <t>User_1242</t>
  </si>
  <si>
    <t>User_1246</t>
  </si>
  <si>
    <t>User_1247</t>
  </si>
  <si>
    <t>User_1248</t>
  </si>
  <si>
    <t>User_1249</t>
  </si>
  <si>
    <t>User_1250</t>
  </si>
  <si>
    <t>User_1252</t>
  </si>
  <si>
    <t>User_1255</t>
  </si>
  <si>
    <t>User_1257</t>
  </si>
  <si>
    <t>User_1258</t>
  </si>
  <si>
    <t>User_1259</t>
  </si>
  <si>
    <t>User_1260</t>
  </si>
  <si>
    <t>User_1263</t>
  </si>
  <si>
    <t>User_1265</t>
  </si>
  <si>
    <t>User_1266</t>
  </si>
  <si>
    <t>User_1269</t>
  </si>
  <si>
    <t>User_1270</t>
  </si>
  <si>
    <t>User_1273</t>
  </si>
  <si>
    <t>User_1275</t>
  </si>
  <si>
    <t>User_1276</t>
  </si>
  <si>
    <t>User_1277</t>
  </si>
  <si>
    <t>User_1279</t>
  </si>
  <si>
    <t>User_1280</t>
  </si>
  <si>
    <t>User_1281</t>
  </si>
  <si>
    <t>User_1283</t>
  </si>
  <si>
    <t>User_1286</t>
  </si>
  <si>
    <t>User_1287</t>
  </si>
  <si>
    <t>User_1288</t>
  </si>
  <si>
    <t>User_1291</t>
  </si>
  <si>
    <t>User_1292</t>
  </si>
  <si>
    <t>User_1293</t>
  </si>
  <si>
    <t>User_1294</t>
  </si>
  <si>
    <t>User_1296</t>
  </si>
  <si>
    <t>User_1297</t>
  </si>
  <si>
    <t>User_1301</t>
  </si>
  <si>
    <t>User_1305</t>
  </si>
  <si>
    <t>User_1307</t>
  </si>
  <si>
    <t>User_1308</t>
  </si>
  <si>
    <t>User_1309</t>
  </si>
  <si>
    <t>User_1310</t>
  </si>
  <si>
    <t>User_1312</t>
  </si>
  <si>
    <t>User_1315</t>
  </si>
  <si>
    <t>User_1316</t>
  </si>
  <si>
    <t>User_1317</t>
  </si>
  <si>
    <t>User_1318</t>
  </si>
  <si>
    <t>Temperature (°C)</t>
  </si>
  <si>
    <t>Charging Efficiency</t>
  </si>
  <si>
    <t>Variable</t>
  </si>
  <si>
    <t>Description</t>
  </si>
  <si>
    <t>The total energy storage capacity of the EV's battery</t>
  </si>
  <si>
    <t>Total energy consumed during the charging session</t>
  </si>
  <si>
    <t xml:space="preserve">Time taken to charge the vehicle </t>
  </si>
  <si>
    <t>The average power delivery rate during charging</t>
  </si>
  <si>
    <t>Battery percentage at the start of the charging session</t>
  </si>
  <si>
    <t>Battery percentage at the end of the charging session</t>
  </si>
  <si>
    <t>Ambient temperature during the charging session</t>
  </si>
  <si>
    <t>How much of the energy supplied during charging is actually stored in the battery</t>
  </si>
  <si>
    <t>Age of the electric vehicle, measured in years</t>
  </si>
  <si>
    <t>Time segment when the charging occurred (morning, afternoon, evening, or night)</t>
  </si>
  <si>
    <t>Classification of user based on driving habits (commuter, casual or long-distance traveller)</t>
  </si>
  <si>
    <t>Geelong</t>
  </si>
  <si>
    <t>Ballarat</t>
  </si>
  <si>
    <t>Bendigo</t>
  </si>
  <si>
    <t>Burwood</t>
  </si>
  <si>
    <t>Footscray</t>
  </si>
  <si>
    <t>Standard</t>
  </si>
  <si>
    <t>Enhanced</t>
  </si>
  <si>
    <t>DC Fast</t>
  </si>
  <si>
    <r>
      <t>Low (less than 3.00), Acceptable (between 3.00 and 9.99), Superior (between 10 and 19.99) and Outstanding (more than 20.00).</t>
    </r>
    <r>
      <rPr>
        <sz val="8"/>
        <color theme="1"/>
        <rFont val="Calibri"/>
        <family val="2"/>
      </rPr>
      <t> </t>
    </r>
  </si>
  <si>
    <t>Charging Efficiency (%)</t>
  </si>
  <si>
    <t>The location of the charging station (Ballarat, Bendigo, Geelong, etc.)</t>
  </si>
  <si>
    <t>BMW M3</t>
  </si>
  <si>
    <t>Hyundai Ioniq 5 N</t>
  </si>
  <si>
    <t>Tesla Model Y</t>
  </si>
  <si>
    <t>Chevrolet Bolt LT</t>
  </si>
  <si>
    <t>The specific EV model being charged (e.g., Tesla Model Y, Nissan Leaf)</t>
  </si>
  <si>
    <t>Type of charger used (Standard, DC Fast Charger)</t>
  </si>
  <si>
    <t xml:space="preserve">Unique identifier for each EV car user </t>
  </si>
  <si>
    <t>Charging Effieciency Category</t>
  </si>
  <si>
    <t>Row Labels</t>
  </si>
  <si>
    <t>Grand Total</t>
  </si>
  <si>
    <t>Count of User ID</t>
  </si>
  <si>
    <t>Acceptable</t>
  </si>
  <si>
    <t>Low</t>
  </si>
  <si>
    <t>Outstanding</t>
  </si>
  <si>
    <t>Superior</t>
  </si>
  <si>
    <t>Column Labels</t>
  </si>
  <si>
    <t>Average of Charging Efficiency</t>
  </si>
  <si>
    <t>Average of Charging Duration (hours)</t>
  </si>
  <si>
    <t>Average of Energy Consumed (kWh)</t>
  </si>
  <si>
    <t>EV Charging Patterns &amp; Efficiency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</si>
</sst>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6"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4"/>
      <color theme="1"/>
      <name val="Calibri"/>
      <family val="2"/>
    </font>
    <font>
      <b/>
      <sz val="12"/>
      <color theme="1"/>
      <name val="Aptos Narrow"/>
      <family val="2"/>
      <scheme val="minor"/>
    </font>
    <font>
      <sz val="12"/>
      <color theme="1"/>
      <name val="Aptos Narrow"/>
      <family val="2"/>
      <scheme val="minor"/>
    </font>
    <font>
      <sz val="8"/>
      <color theme="1"/>
      <name val="Calibri"/>
      <family val="2"/>
    </font>
    <font>
      <b/>
      <sz val="16"/>
      <color theme="1"/>
      <name val="Aptos Narrow"/>
      <family val="2"/>
      <scheme val="minor"/>
    </font>
    <font>
      <sz val="16"/>
      <color theme="1"/>
      <name val="Aptos Narrow"/>
      <family val="2"/>
      <scheme val="minor"/>
    </font>
    <font>
      <b/>
      <sz val="14"/>
      <color theme="1"/>
      <name val="Aptos Narrow"/>
      <family val="2"/>
      <scheme val="minor"/>
    </font>
    <font>
      <b/>
      <sz val="20"/>
      <color theme="1"/>
      <name val="Aptos Narrow"/>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
      <patternFill patternType="solid">
        <fgColor theme="9" tint="0.79998168889431442"/>
        <bgColor indexed="64"/>
      </patternFill>
    </fill>
    <fill>
      <patternFill patternType="solid">
        <fgColor theme="0"/>
        <bgColor indexed="64"/>
      </patternFill>
    </fill>
    <fill>
      <patternFill patternType="solid">
        <fgColor rgb="FFA7D930"/>
        <bgColor indexed="64"/>
      </patternFill>
    </fill>
    <fill>
      <patternFill patternType="solid">
        <fgColor rgb="FF7B4425"/>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5">
    <xf numFmtId="0" fontId="0" fillId="0" borderId="0" xfId="0"/>
    <xf numFmtId="0" fontId="18" fillId="0" borderId="0" xfId="0" applyFont="1" applyAlignment="1">
      <alignment vertical="center" wrapText="1"/>
    </xf>
    <xf numFmtId="0" fontId="20" fillId="0" borderId="0" xfId="0" applyFont="1" applyAlignment="1">
      <alignment horizontal="center" vertical="center"/>
    </xf>
    <xf numFmtId="1" fontId="20" fillId="0" borderId="0" xfId="0" applyNumberFormat="1" applyFont="1" applyAlignment="1">
      <alignment horizontal="center" vertical="center"/>
    </xf>
    <xf numFmtId="2" fontId="20" fillId="0" borderId="0" xfId="0" applyNumberFormat="1" applyFont="1" applyAlignment="1">
      <alignment horizontal="center" vertical="center"/>
    </xf>
    <xf numFmtId="164" fontId="20" fillId="0" borderId="0" xfId="0" applyNumberFormat="1" applyFont="1" applyAlignment="1">
      <alignment horizontal="center" vertical="center"/>
    </xf>
    <xf numFmtId="0" fontId="21" fillId="0" borderId="0" xfId="0" applyFont="1" applyAlignment="1">
      <alignment vertical="center"/>
    </xf>
    <xf numFmtId="0" fontId="18" fillId="0" borderId="0" xfId="0" applyFont="1" applyAlignment="1">
      <alignment vertical="center"/>
    </xf>
    <xf numFmtId="0" fontId="0" fillId="0" borderId="0" xfId="0" applyAlignment="1">
      <alignment vertical="center"/>
    </xf>
    <xf numFmtId="0" fontId="22" fillId="0" borderId="0" xfId="0" applyFont="1" applyAlignment="1">
      <alignment vertical="center"/>
    </xf>
    <xf numFmtId="0" fontId="23" fillId="0" borderId="0" xfId="0" applyFont="1" applyAlignment="1">
      <alignment vertical="center"/>
    </xf>
    <xf numFmtId="0" fontId="19" fillId="33" borderId="0" xfId="0" applyFont="1" applyFill="1" applyAlignment="1">
      <alignment horizontal="center" vertical="center" wrapText="1"/>
    </xf>
    <xf numFmtId="0" fontId="24" fillId="33" borderId="0" xfId="0" applyFont="1" applyFill="1" applyAlignment="1">
      <alignment horizontal="center" vertical="center" wrapText="1"/>
    </xf>
    <xf numFmtId="1" fontId="24" fillId="33" borderId="0" xfId="0" applyNumberFormat="1" applyFont="1" applyFill="1" applyAlignment="1">
      <alignment horizontal="center" vertical="center" wrapText="1"/>
    </xf>
    <xf numFmtId="0" fontId="0" fillId="0" borderId="0" xfId="0" pivotButton="1"/>
    <xf numFmtId="0" fontId="0" fillId="0" borderId="0" xfId="0" applyAlignment="1">
      <alignment horizontal="left"/>
    </xf>
    <xf numFmtId="2" fontId="0" fillId="0" borderId="0" xfId="0" applyNumberFormat="1"/>
    <xf numFmtId="0" fontId="0" fillId="35" borderId="15" xfId="0" applyFill="1" applyBorder="1"/>
    <xf numFmtId="0" fontId="0" fillId="35" borderId="17" xfId="0" applyFill="1" applyBorder="1"/>
    <xf numFmtId="0" fontId="0" fillId="35" borderId="10" xfId="0" applyFill="1" applyBorder="1"/>
    <xf numFmtId="0" fontId="0" fillId="37" borderId="17" xfId="0" applyFill="1" applyBorder="1"/>
    <xf numFmtId="0" fontId="0" fillId="37" borderId="15" xfId="0" applyFill="1" applyBorder="1"/>
    <xf numFmtId="0" fontId="0" fillId="35" borderId="0" xfId="0" applyFill="1"/>
    <xf numFmtId="0" fontId="0" fillId="37" borderId="0" xfId="0" applyFill="1"/>
    <xf numFmtId="0" fontId="0" fillId="35" borderId="0" xfId="0" applyFill="1" applyAlignment="1">
      <alignment horizontal="center"/>
    </xf>
    <xf numFmtId="0" fontId="25" fillId="36" borderId="11" xfId="0" applyFont="1" applyFill="1" applyBorder="1" applyAlignment="1">
      <alignment horizontal="center" vertical="center"/>
    </xf>
    <xf numFmtId="0" fontId="25" fillId="36" borderId="12" xfId="0" applyFont="1" applyFill="1" applyBorder="1" applyAlignment="1">
      <alignment horizontal="center" vertical="center"/>
    </xf>
    <xf numFmtId="0" fontId="25" fillId="36" borderId="13" xfId="0" applyFont="1" applyFill="1" applyBorder="1" applyAlignment="1">
      <alignment horizontal="center" vertical="center"/>
    </xf>
    <xf numFmtId="0" fontId="25" fillId="36" borderId="14" xfId="0" applyFont="1" applyFill="1" applyBorder="1" applyAlignment="1">
      <alignment horizontal="center" vertical="center"/>
    </xf>
    <xf numFmtId="0" fontId="25" fillId="36" borderId="0" xfId="0" applyFont="1" applyFill="1" applyAlignment="1">
      <alignment horizontal="center" vertical="center"/>
    </xf>
    <xf numFmtId="0" fontId="25" fillId="36" borderId="15" xfId="0" applyFont="1" applyFill="1" applyBorder="1" applyAlignment="1">
      <alignment horizontal="center" vertical="center"/>
    </xf>
    <xf numFmtId="0" fontId="0" fillId="34" borderId="14" xfId="0" applyFill="1" applyBorder="1" applyAlignment="1">
      <alignment horizontal="center"/>
    </xf>
    <xf numFmtId="0" fontId="0" fillId="34" borderId="0" xfId="0" applyFill="1" applyAlignment="1">
      <alignment horizontal="center"/>
    </xf>
    <xf numFmtId="0" fontId="0" fillId="34" borderId="16" xfId="0" applyFill="1" applyBorder="1" applyAlignment="1">
      <alignment horizontal="center"/>
    </xf>
    <xf numFmtId="0" fontId="0" fillId="34" borderId="17"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1" defaultTableStyle="TableStyleMedium2" defaultPivotStyle="PivotStyleLight16">
    <tableStyle name="Invisible" pivot="0" table="0" count="0" xr9:uid="{6A141E1C-7679-43D4-8495-45B5BDEC34C6}"/>
  </tableStyles>
  <colors>
    <mruColors>
      <color rgb="FF7B4425"/>
      <color rgb="FFA7D93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microsoft.com/office/2007/relationships/slicerCache" Target="slicerCaches/slicerCache3.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[2025 T3 MIS171 Assignment 1 Data.xlsx]Chart 1!PivotTable1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User Demographic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tint val="65000"/>
            </a:schemeClr>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hade val="65000"/>
            </a:schemeClr>
          </a:solidFill>
          <a:ln w="19050">
            <a:solidFill>
              <a:schemeClr val="lt1"/>
            </a:solidFill>
          </a:ln>
          <a:effectLst/>
        </c:spPr>
      </c:pivotFmt>
    </c:pivotFmts>
    <c:plotArea>
      <c:layout/>
      <c:pieChart>
        <c:varyColors val="1"/>
        <c:ser>
          <c:idx val="0"/>
          <c:order val="0"/>
          <c:tx>
            <c:strRef>
              <c:f>'Chart 1'!$B$1</c:f>
              <c:strCache>
                <c:ptCount val="1"/>
                <c:pt idx="0">
                  <c:v>Total</c:v>
                </c:pt>
              </c:strCache>
            </c:strRef>
          </c:tx>
          <c:dPt>
            <c:idx val="0"/>
            <c:bubble3D val="0"/>
            <c:spPr>
              <a:solidFill>
                <a:schemeClr val="accent6">
                  <a:tint val="65000"/>
                </a:schemeClr>
              </a:solidFill>
              <a:ln w="19050">
                <a:solidFill>
                  <a:schemeClr val="lt1"/>
                </a:solidFill>
              </a:ln>
              <a:effectLst/>
            </c:spPr>
            <c:extLst>
              <c:ext xmlns:c16="http://schemas.microsoft.com/office/drawing/2014/chart" uri="{C3380CC4-5D6E-409C-BE32-E72D297353CC}">
                <c16:uniqueId val="{00000001-11C5-4DCE-8350-50C94BA41F3E}"/>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11C5-4DCE-8350-50C94BA41F3E}"/>
              </c:ext>
            </c:extLst>
          </c:dPt>
          <c:dPt>
            <c:idx val="2"/>
            <c:bubble3D val="0"/>
            <c:spPr>
              <a:solidFill>
                <a:schemeClr val="accent6">
                  <a:shade val="65000"/>
                </a:schemeClr>
              </a:solidFill>
              <a:ln w="19050">
                <a:solidFill>
                  <a:schemeClr val="lt1"/>
                </a:solidFill>
              </a:ln>
              <a:effectLst/>
            </c:spPr>
            <c:extLst>
              <c:ext xmlns:c16="http://schemas.microsoft.com/office/drawing/2014/chart" uri="{C3380CC4-5D6E-409C-BE32-E72D297353CC}">
                <c16:uniqueId val="{00000005-11C5-4DCE-8350-50C94BA41F3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 1'!$A$2:$A$5</c:f>
              <c:strCache>
                <c:ptCount val="3"/>
                <c:pt idx="0">
                  <c:v>Casual Driver</c:v>
                </c:pt>
                <c:pt idx="1">
                  <c:v>Commuter</c:v>
                </c:pt>
                <c:pt idx="2">
                  <c:v>Long-Distance Traveler</c:v>
                </c:pt>
              </c:strCache>
            </c:strRef>
          </c:cat>
          <c:val>
            <c:numRef>
              <c:f>'Chart 1'!$B$2:$B$5</c:f>
              <c:numCache>
                <c:formatCode>General</c:formatCode>
                <c:ptCount val="3"/>
                <c:pt idx="0">
                  <c:v>246</c:v>
                </c:pt>
                <c:pt idx="1">
                  <c:v>260</c:v>
                </c:pt>
                <c:pt idx="2">
                  <c:v>215</c:v>
                </c:pt>
              </c:numCache>
            </c:numRef>
          </c:val>
          <c:extLst>
            <c:ext xmlns:c16="http://schemas.microsoft.com/office/drawing/2014/chart" uri="{C3380CC4-5D6E-409C-BE32-E72D297353CC}">
              <c16:uniqueId val="{00000006-11C5-4DCE-8350-50C94BA41F3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[2025 T3 MIS171 Assignment 1 Data.xlsx]Chart 2!PivotTable2</c:name>
    <c:fmtId val="6"/>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Efficiency by Charger Type</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'Chart 2'!$B$3:$B$4</c:f>
              <c:strCache>
                <c:ptCount val="1"/>
                <c:pt idx="0">
                  <c:v>Acceptable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'Chart 2'!$A$5:$A$8</c:f>
              <c:strCache>
                <c:ptCount val="3"/>
                <c:pt idx="0">
                  <c:v>DC Fast</c:v>
                </c:pt>
                <c:pt idx="1">
                  <c:v>Enhanced</c:v>
                </c:pt>
                <c:pt idx="2">
                  <c:v>Standard</c:v>
                </c:pt>
              </c:strCache>
            </c:strRef>
          </c:cat>
          <c:val>
            <c:numRef>
              <c:f>'Chart 2'!$B$5:$B$8</c:f>
              <c:numCache>
                <c:formatCode>General</c:formatCode>
                <c:ptCount val="3"/>
                <c:pt idx="0">
                  <c:v>83</c:v>
                </c:pt>
                <c:pt idx="1">
                  <c:v>77</c:v>
                </c:pt>
                <c:pt idx="2">
                  <c:v>71</c:v>
                </c:pt>
              </c:numCache>
            </c:numRef>
          </c:val>
          <c:extLst>
            <c:ext xmlns:c16="http://schemas.microsoft.com/office/drawing/2014/chart" uri="{C3380CC4-5D6E-409C-BE32-E72D297353CC}">
              <c16:uniqueId val="{00000000-14CD-4824-8003-035578B6659A}"/>
            </c:ext>
          </c:extLst>
        </c:ser>
        <c:ser>
          <c:idx val="1"/>
          <c:order val="1"/>
          <c:tx>
            <c:strRef>
              <c:f>'Chart 2'!$C$3:$C$4</c:f>
              <c:strCache>
                <c:ptCount val="1"/>
                <c:pt idx="0">
                  <c:v>Low</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'Chart 2'!$A$5:$A$8</c:f>
              <c:strCache>
                <c:ptCount val="3"/>
                <c:pt idx="0">
                  <c:v>DC Fast</c:v>
                </c:pt>
                <c:pt idx="1">
                  <c:v>Enhanced</c:v>
                </c:pt>
                <c:pt idx="2">
                  <c:v>Standard</c:v>
                </c:pt>
              </c:strCache>
            </c:strRef>
          </c:cat>
          <c:val>
            <c:numRef>
              <c:f>'Chart 2'!$C$5:$C$8</c:f>
              <c:numCache>
                <c:formatCode>General</c:formatCode>
                <c:ptCount val="3"/>
                <c:pt idx="0">
                  <c:v>44</c:v>
                </c:pt>
                <c:pt idx="1">
                  <c:v>57</c:v>
                </c:pt>
                <c:pt idx="2">
                  <c:v>64</c:v>
                </c:pt>
              </c:numCache>
            </c:numRef>
          </c:val>
          <c:extLst>
            <c:ext xmlns:c16="http://schemas.microsoft.com/office/drawing/2014/chart" uri="{C3380CC4-5D6E-409C-BE32-E72D297353CC}">
              <c16:uniqueId val="{00000008-14CD-4824-8003-035578B6659A}"/>
            </c:ext>
          </c:extLst>
        </c:ser>
        <c:ser>
          <c:idx val="2"/>
          <c:order val="2"/>
          <c:tx>
            <c:strRef>
              <c:f>'Chart 2'!$D$3:$D$4</c:f>
              <c:strCache>
                <c:ptCount val="1"/>
                <c:pt idx="0">
                  <c:v>Outstanding</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'Chart 2'!$A$5:$A$8</c:f>
              <c:strCache>
                <c:ptCount val="3"/>
                <c:pt idx="0">
                  <c:v>DC Fast</c:v>
                </c:pt>
                <c:pt idx="1">
                  <c:v>Enhanced</c:v>
                </c:pt>
                <c:pt idx="2">
                  <c:v>Standard</c:v>
                </c:pt>
              </c:strCache>
            </c:strRef>
          </c:cat>
          <c:val>
            <c:numRef>
              <c:f>'Chart 2'!$D$5:$D$8</c:f>
              <c:numCache>
                <c:formatCode>General</c:formatCode>
                <c:ptCount val="3"/>
                <c:pt idx="0">
                  <c:v>50</c:v>
                </c:pt>
                <c:pt idx="1">
                  <c:v>45</c:v>
                </c:pt>
                <c:pt idx="2">
                  <c:v>54</c:v>
                </c:pt>
              </c:numCache>
            </c:numRef>
          </c:val>
          <c:extLst>
            <c:ext xmlns:c16="http://schemas.microsoft.com/office/drawing/2014/chart" uri="{C3380CC4-5D6E-409C-BE32-E72D297353CC}">
              <c16:uniqueId val="{00000009-14CD-4824-8003-035578B6659A}"/>
            </c:ext>
          </c:extLst>
        </c:ser>
        <c:ser>
          <c:idx val="3"/>
          <c:order val="3"/>
          <c:tx>
            <c:strRef>
              <c:f>'Chart 2'!$E$3:$E$4</c:f>
              <c:strCache>
                <c:ptCount val="1"/>
                <c:pt idx="0">
                  <c:v>Superior</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'Chart 2'!$A$5:$A$8</c:f>
              <c:strCache>
                <c:ptCount val="3"/>
                <c:pt idx="0">
                  <c:v>DC Fast</c:v>
                </c:pt>
                <c:pt idx="1">
                  <c:v>Enhanced</c:v>
                </c:pt>
                <c:pt idx="2">
                  <c:v>Standard</c:v>
                </c:pt>
              </c:strCache>
            </c:strRef>
          </c:cat>
          <c:val>
            <c:numRef>
              <c:f>'Chart 2'!$E$5:$E$8</c:f>
              <c:numCache>
                <c:formatCode>General</c:formatCode>
                <c:ptCount val="3"/>
                <c:pt idx="0">
                  <c:v>55</c:v>
                </c:pt>
                <c:pt idx="1">
                  <c:v>62</c:v>
                </c:pt>
                <c:pt idx="2">
                  <c:v>59</c:v>
                </c:pt>
              </c:numCache>
            </c:numRef>
          </c:val>
          <c:extLst>
            <c:ext xmlns:c16="http://schemas.microsoft.com/office/drawing/2014/chart" uri="{C3380CC4-5D6E-409C-BE32-E72D297353CC}">
              <c16:uniqueId val="{0000000A-14CD-4824-8003-035578B6659A}"/>
            </c:ext>
          </c:extLst>
        </c:ser>
        <c:dLbls>
          <c:dLblPos val="ctr"/>
          <c:showLegendKey val="0"/>
          <c:showVal val="1"/>
          <c:showCatName val="0"/>
          <c:showSerName val="0"/>
          <c:showPercent val="0"/>
          <c:showBubbleSize val="0"/>
        </c:dLbls>
        <c:gapWidth val="150"/>
        <c:overlap val="100"/>
        <c:axId val="1177170191"/>
        <c:axId val="1177168751"/>
      </c:barChart>
      <c:catAx>
        <c:axId val="1177170191"/>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177168751"/>
        <c:crosses val="autoZero"/>
        <c:auto val="1"/>
        <c:lblAlgn val="ctr"/>
        <c:lblOffset val="100"/>
        <c:noMultiLvlLbl val="0"/>
      </c:catAx>
      <c:valAx>
        <c:axId val="1177168751"/>
        <c:scaling>
          <c:orientation val="minMax"/>
        </c:scaling>
        <c:delete val="0"/>
        <c:axPos val="l"/>
        <c:majorGridlines>
          <c:spPr>
            <a:ln w="9525" cap="flat" cmpd="sng" algn="ctr">
              <a:solidFill>
                <a:schemeClr val="dk1">
                  <a:lumMod val="15000"/>
                  <a:lumOff val="85000"/>
                </a:schemeClr>
              </a:solidFill>
              <a:round/>
            </a:ln>
            <a:effectLst/>
          </c:spPr>
        </c:majorGridlines>
        <c:numFmt formatCode="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177170191"/>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[2025 T3 MIS171 Assignment 1 Data.xlsx]Chart 3!PivotTable17</c:name>
    <c:fmtId val="6"/>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Peak Effiency Times</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 3'!$B$1</c:f>
              <c:strCache>
                <c:ptCount val="1"/>
                <c:pt idx="0">
                  <c:v>Total</c:v>
                </c:pt>
              </c:strCache>
            </c:strRef>
          </c:tx>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'Chart 3'!$A$2:$A$6</c:f>
              <c:strCache>
                <c:ptCount val="4"/>
                <c:pt idx="0">
                  <c:v>Afternoon</c:v>
                </c:pt>
                <c:pt idx="1">
                  <c:v>Evening</c:v>
                </c:pt>
                <c:pt idx="2">
                  <c:v>Morning</c:v>
                </c:pt>
                <c:pt idx="3">
                  <c:v>Night</c:v>
                </c:pt>
              </c:strCache>
            </c:strRef>
          </c:cat>
          <c:val>
            <c:numRef>
              <c:f>'Chart 3'!$B$2:$B$6</c:f>
              <c:numCache>
                <c:formatCode>0.00</c:formatCode>
                <c:ptCount val="4"/>
                <c:pt idx="0">
                  <c:v>10.539369232725651</c:v>
                </c:pt>
                <c:pt idx="1">
                  <c:v>12.960808925385985</c:v>
                </c:pt>
                <c:pt idx="2">
                  <c:v>11.67753255109514</c:v>
                </c:pt>
                <c:pt idx="3">
                  <c:v>12.503286205755138</c:v>
                </c:pt>
              </c:numCache>
            </c:numRef>
          </c:val>
          <c:extLst>
            <c:ext xmlns:c16="http://schemas.microsoft.com/office/drawing/2014/chart" uri="{C3380CC4-5D6E-409C-BE32-E72D297353CC}">
              <c16:uniqueId val="{00000000-CB0D-409F-919B-282253820DB2}"/>
            </c:ext>
          </c:extLst>
        </c:ser>
        <c:dLbls>
          <c:dLblPos val="inEnd"/>
          <c:showLegendKey val="0"/>
          <c:showVal val="1"/>
          <c:showCatName val="0"/>
          <c:showSerName val="0"/>
          <c:showPercent val="0"/>
          <c:showBubbleSize val="0"/>
        </c:dLbls>
        <c:gapWidth val="41"/>
        <c:axId val="1277539375"/>
        <c:axId val="1277536015"/>
      </c:barChart>
      <c:catAx>
        <c:axId val="12775393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277536015"/>
        <c:crosses val="autoZero"/>
        <c:auto val="1"/>
        <c:lblAlgn val="ctr"/>
        <c:lblOffset val="100"/>
        <c:noMultiLvlLbl val="0"/>
      </c:catAx>
      <c:valAx>
        <c:axId val="1277536015"/>
        <c:scaling>
          <c:orientation val="minMax"/>
        </c:scaling>
        <c:delete val="1"/>
        <c:axPos val="l"/>
        <c:numFmt formatCode="0.00" sourceLinked="1"/>
        <c:majorTickMark val="none"/>
        <c:minorTickMark val="none"/>
        <c:tickLblPos val="nextTo"/>
        <c:crossAx val="1277539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[2025 T3 MIS171 Assignment 1 Data.xlsx]Chart 4!PivotTable18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Vehicle</a:t>
            </a:r>
            <a:r>
              <a:rPr lang="en-US" baseline="0"/>
              <a:t> Charging Speeds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 4'!$B$1</c:f>
              <c:strCache>
                <c:ptCount val="1"/>
                <c:pt idx="0">
                  <c:v>Total</c:v>
                </c:pt>
              </c:strCache>
            </c:strRef>
          </c:tx>
          <c:spPr>
            <a:solidFill>
              <a:schemeClr val="accent3"/>
            </a:solidFill>
            <a:ln>
              <a:noFill/>
            </a:ln>
            <a:effectLst/>
          </c:spPr>
          <c:invertIfNegative val="0"/>
          <c:cat>
            <c:strRef>
              <c:f>'Chart 4'!$A$2:$A$7</c:f>
              <c:strCache>
                <c:ptCount val="5"/>
                <c:pt idx="0">
                  <c:v>BMW M3</c:v>
                </c:pt>
                <c:pt idx="1">
                  <c:v>Chevrolet Bolt LT</c:v>
                </c:pt>
                <c:pt idx="2">
                  <c:v>Hyundai Ioniq 5 N</c:v>
                </c:pt>
                <c:pt idx="3">
                  <c:v>Nissan Leaf</c:v>
                </c:pt>
                <c:pt idx="4">
                  <c:v>Tesla Model Y</c:v>
                </c:pt>
              </c:strCache>
            </c:strRef>
          </c:cat>
          <c:val>
            <c:numRef>
              <c:f>'Chart 4'!$B$2:$B$7</c:f>
              <c:numCache>
                <c:formatCode>0.00</c:formatCode>
                <c:ptCount val="5"/>
                <c:pt idx="0">
                  <c:v>2.1276150955182485</c:v>
                </c:pt>
                <c:pt idx="1">
                  <c:v>2.4926570369782612</c:v>
                </c:pt>
                <c:pt idx="2">
                  <c:v>2.2958086087241374</c:v>
                </c:pt>
                <c:pt idx="3">
                  <c:v>2.1918732080068497</c:v>
                </c:pt>
                <c:pt idx="4">
                  <c:v>2.3086825874258055</c:v>
                </c:pt>
              </c:numCache>
            </c:numRef>
          </c:val>
          <c:extLst>
            <c:ext xmlns:c16="http://schemas.microsoft.com/office/drawing/2014/chart" uri="{C3380CC4-5D6E-409C-BE32-E72D297353CC}">
              <c16:uniqueId val="{00000000-33DB-4E99-8779-056D75B902E4}"/>
            </c:ext>
          </c:extLst>
        </c:ser>
        <c:dLbls>
          <c:showLegendKey val="0"/>
          <c:showVal val="0"/>
          <c:showCatName val="0"/>
          <c:showSerName val="0"/>
          <c:showPercent val="0"/>
          <c:showBubbleSize val="0"/>
        </c:dLbls>
        <c:gapWidth val="219"/>
        <c:overlap val="-27"/>
        <c:axId val="1316938079"/>
        <c:axId val="1316954879"/>
      </c:barChart>
      <c:catAx>
        <c:axId val="1316938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954879"/>
        <c:crosses val="autoZero"/>
        <c:auto val="1"/>
        <c:lblAlgn val="ctr"/>
        <c:lblOffset val="100"/>
        <c:noMultiLvlLbl val="0"/>
      </c:catAx>
      <c:valAx>
        <c:axId val="13169548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938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[2025 T3 MIS171 Assignment 1 Data.xlsx]Chart 1!PivotTable1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User</a:t>
            </a:r>
            <a:r>
              <a:rPr lang="en-US" baseline="0"/>
              <a:t> Demographic</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'Chart 1'!$B$1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2FD-4048-B1BB-01292002570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2FD-4048-B1BB-01292002570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2FD-4048-B1BB-01292002570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'Chart 1'!$A$2:$A$5</c:f>
              <c:strCache>
                <c:ptCount val="3"/>
                <c:pt idx="0">
                  <c:v>Casual Driver</c:v>
                </c:pt>
                <c:pt idx="1">
                  <c:v>Commuter</c:v>
                </c:pt>
                <c:pt idx="2">
                  <c:v>Long-Distance Traveler</c:v>
                </c:pt>
              </c:strCache>
            </c:strRef>
          </c:cat>
          <c:val>
            <c:numRef>
              <c:f>'Chart 1'!$B$2:$B$5</c:f>
              <c:numCache>
                <c:formatCode>General</c:formatCode>
                <c:ptCount val="3"/>
                <c:pt idx="0">
                  <c:v>246</c:v>
                </c:pt>
                <c:pt idx="1">
                  <c:v>260</c:v>
                </c:pt>
                <c:pt idx="2">
                  <c:v>215</c:v>
                </c:pt>
              </c:numCache>
            </c:numRef>
          </c:val>
          <c:extLst>
            <c:ext xmlns:c16="http://schemas.microsoft.com/office/drawing/2014/chart" uri="{C3380CC4-5D6E-409C-BE32-E72D297353CC}">
              <c16:uniqueId val="{00000000-041A-45AB-B623-DC57D265E2B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[2025 T3 MIS171 Assignment 1 Data.xlsx]Chart 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Efficiency</a:t>
            </a:r>
            <a:r>
              <a:rPr lang="en-US" baseline="0"/>
              <a:t> by Charger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'Chart 2'!$B$3:$B$4</c:f>
              <c:strCache>
                <c:ptCount val="1"/>
                <c:pt idx="0">
                  <c:v>Acceptable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2'!$A$5:$A$8</c:f>
              <c:strCache>
                <c:ptCount val="3"/>
                <c:pt idx="0">
                  <c:v>DC Fast</c:v>
                </c:pt>
                <c:pt idx="1">
                  <c:v>Enhanced</c:v>
                </c:pt>
                <c:pt idx="2">
                  <c:v>Standard</c:v>
                </c:pt>
              </c:strCache>
            </c:strRef>
          </c:cat>
          <c:val>
            <c:numRef>
              <c:f>'Chart 2'!$B$5:$B$8</c:f>
              <c:numCache>
                <c:formatCode>General</c:formatCode>
                <c:ptCount val="3"/>
                <c:pt idx="0">
                  <c:v>83</c:v>
                </c:pt>
                <c:pt idx="1">
                  <c:v>77</c:v>
                </c:pt>
                <c:pt idx="2">
                  <c:v>71</c:v>
                </c:pt>
              </c:numCache>
            </c:numRef>
          </c:val>
          <c:extLst>
            <c:ext xmlns:c16="http://schemas.microsoft.com/office/drawing/2014/chart" uri="{C3380CC4-5D6E-409C-BE32-E72D297353CC}">
              <c16:uniqueId val="{00000000-9E2F-406C-9C8C-459CD0949D6C}"/>
            </c:ext>
          </c:extLst>
        </c:ser>
        <c:ser>
          <c:idx val="1"/>
          <c:order val="1"/>
          <c:tx>
            <c:strRef>
              <c:f>'Chart 2'!$C$3:$C$4</c:f>
              <c:strCache>
                <c:ptCount val="1"/>
                <c:pt idx="0">
                  <c:v>Low</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2'!$A$5:$A$8</c:f>
              <c:strCache>
                <c:ptCount val="3"/>
                <c:pt idx="0">
                  <c:v>DC Fast</c:v>
                </c:pt>
                <c:pt idx="1">
                  <c:v>Enhanced</c:v>
                </c:pt>
                <c:pt idx="2">
                  <c:v>Standard</c:v>
                </c:pt>
              </c:strCache>
            </c:strRef>
          </c:cat>
          <c:val>
            <c:numRef>
              <c:f>'Chart 2'!$C$5:$C$8</c:f>
              <c:numCache>
                <c:formatCode>General</c:formatCode>
                <c:ptCount val="3"/>
                <c:pt idx="0">
                  <c:v>44</c:v>
                </c:pt>
                <c:pt idx="1">
                  <c:v>57</c:v>
                </c:pt>
                <c:pt idx="2">
                  <c:v>64</c:v>
                </c:pt>
              </c:numCache>
            </c:numRef>
          </c:val>
          <c:extLst>
            <c:ext xmlns:c16="http://schemas.microsoft.com/office/drawing/2014/chart" uri="{C3380CC4-5D6E-409C-BE32-E72D297353CC}">
              <c16:uniqueId val="{00000008-9E2F-406C-9C8C-459CD0949D6C}"/>
            </c:ext>
          </c:extLst>
        </c:ser>
        <c:ser>
          <c:idx val="2"/>
          <c:order val="2"/>
          <c:tx>
            <c:strRef>
              <c:f>'Chart 2'!$D$3:$D$4</c:f>
              <c:strCache>
                <c:ptCount val="1"/>
                <c:pt idx="0">
                  <c:v>Outstanding</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2'!$A$5:$A$8</c:f>
              <c:strCache>
                <c:ptCount val="3"/>
                <c:pt idx="0">
                  <c:v>DC Fast</c:v>
                </c:pt>
                <c:pt idx="1">
                  <c:v>Enhanced</c:v>
                </c:pt>
                <c:pt idx="2">
                  <c:v>Standard</c:v>
                </c:pt>
              </c:strCache>
            </c:strRef>
          </c:cat>
          <c:val>
            <c:numRef>
              <c:f>'Chart 2'!$D$5:$D$8</c:f>
              <c:numCache>
                <c:formatCode>General</c:formatCode>
                <c:ptCount val="3"/>
                <c:pt idx="0">
                  <c:v>50</c:v>
                </c:pt>
                <c:pt idx="1">
                  <c:v>45</c:v>
                </c:pt>
                <c:pt idx="2">
                  <c:v>54</c:v>
                </c:pt>
              </c:numCache>
            </c:numRef>
          </c:val>
          <c:extLst>
            <c:ext xmlns:c16="http://schemas.microsoft.com/office/drawing/2014/chart" uri="{C3380CC4-5D6E-409C-BE32-E72D297353CC}">
              <c16:uniqueId val="{00000009-9E2F-406C-9C8C-459CD0949D6C}"/>
            </c:ext>
          </c:extLst>
        </c:ser>
        <c:ser>
          <c:idx val="3"/>
          <c:order val="3"/>
          <c:tx>
            <c:strRef>
              <c:f>'Chart 2'!$E$3:$E$4</c:f>
              <c:strCache>
                <c:ptCount val="1"/>
                <c:pt idx="0">
                  <c:v>Superior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2'!$A$5:$A$8</c:f>
              <c:strCache>
                <c:ptCount val="3"/>
                <c:pt idx="0">
                  <c:v>DC Fast</c:v>
                </c:pt>
                <c:pt idx="1">
                  <c:v>Enhanced</c:v>
                </c:pt>
                <c:pt idx="2">
                  <c:v>Standard</c:v>
                </c:pt>
              </c:strCache>
            </c:strRef>
          </c:cat>
          <c:val>
            <c:numRef>
              <c:f>'Chart 2'!$E$5:$E$8</c:f>
              <c:numCache>
                <c:formatCode>General</c:formatCode>
                <c:ptCount val="3"/>
                <c:pt idx="0">
                  <c:v>55</c:v>
                </c:pt>
                <c:pt idx="1">
                  <c:v>62</c:v>
                </c:pt>
                <c:pt idx="2">
                  <c:v>59</c:v>
                </c:pt>
              </c:numCache>
            </c:numRef>
          </c:val>
          <c:extLst>
            <c:ext xmlns:c16="http://schemas.microsoft.com/office/drawing/2014/chart" uri="{C3380CC4-5D6E-409C-BE32-E72D297353CC}">
              <c16:uniqueId val="{0000000A-9E2F-406C-9C8C-459CD0949D6C}"/>
            </c:ext>
          </c:extLst>
        </c:ser>
        <c:dLbls>
          <c:dLblPos val="ctr"/>
          <c:showLegendKey val="0"/>
          <c:showVal val="1"/>
          <c:showCatName val="0"/>
          <c:showSerName val="0"/>
          <c:showPercent val="0"/>
          <c:showBubbleSize val="0"/>
        </c:dLbls>
        <c:gapWidth val="219"/>
        <c:overlap val="100"/>
        <c:axId val="1177170191"/>
        <c:axId val="1177168751"/>
      </c:barChart>
      <c:catAx>
        <c:axId val="1177170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7168751"/>
        <c:crosses val="autoZero"/>
        <c:auto val="1"/>
        <c:lblAlgn val="ctr"/>
        <c:lblOffset val="100"/>
        <c:noMultiLvlLbl val="0"/>
      </c:catAx>
      <c:valAx>
        <c:axId val="11771687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7170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[2025 T3 MIS171 Assignment 1 Data.xlsx]Chart 3!PivotTable17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Peak Effiency</a:t>
            </a:r>
            <a:r>
              <a:rPr lang="en-US" baseline="0"/>
              <a:t> Times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 3'!$B$1</c:f>
              <c:strCache>
                <c:ptCount val="1"/>
                <c:pt idx="0">
                  <c:v>Total</c:v>
                </c:pt>
              </c:strCache>
            </c:strRef>
          </c:tx>
          <c:spPr>
            <a:solidFill>
              <a:schemeClr val="accent1"/>
            </a:solidFill>
            <a:ln>
              <a:noFill/>
            </a:ln>
            <a:effectLst/>
          </c:spPr>
          <c:invertIfNegative val="0"/>
          <c:cat>
            <c:strRef>
              <c:f>'Chart 3'!$A$2:$A$6</c:f>
              <c:strCache>
                <c:ptCount val="4"/>
                <c:pt idx="0">
                  <c:v>Afternoon</c:v>
                </c:pt>
                <c:pt idx="1">
                  <c:v>Evening</c:v>
                </c:pt>
                <c:pt idx="2">
                  <c:v>Morning</c:v>
                </c:pt>
                <c:pt idx="3">
                  <c:v>Night</c:v>
                </c:pt>
              </c:strCache>
            </c:strRef>
          </c:cat>
          <c:val>
            <c:numRef>
              <c:f>'Chart 3'!$B$2:$B$6</c:f>
              <c:numCache>
                <c:formatCode>0.00</c:formatCode>
                <c:ptCount val="4"/>
                <c:pt idx="0">
                  <c:v>10.539369232725651</c:v>
                </c:pt>
                <c:pt idx="1">
                  <c:v>12.960808925385985</c:v>
                </c:pt>
                <c:pt idx="2">
                  <c:v>11.67753255109514</c:v>
                </c:pt>
                <c:pt idx="3">
                  <c:v>12.503286205755138</c:v>
                </c:pt>
              </c:numCache>
            </c:numRef>
          </c:val>
          <c:extLst>
            <c:ext xmlns:c16="http://schemas.microsoft.com/office/drawing/2014/chart" uri="{C3380CC4-5D6E-409C-BE32-E72D297353CC}">
              <c16:uniqueId val="{00000000-CC23-4A24-82C9-DE380D09FD24}"/>
            </c:ext>
          </c:extLst>
        </c:ser>
        <c:dLbls>
          <c:showLegendKey val="0"/>
          <c:showVal val="0"/>
          <c:showCatName val="0"/>
          <c:showSerName val="0"/>
          <c:showPercent val="0"/>
          <c:showBubbleSize val="0"/>
        </c:dLbls>
        <c:gapWidth val="219"/>
        <c:overlap val="-27"/>
        <c:axId val="1277539375"/>
        <c:axId val="1277536015"/>
      </c:barChart>
      <c:catAx>
        <c:axId val="1277539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7536015"/>
        <c:crosses val="autoZero"/>
        <c:auto val="1"/>
        <c:lblAlgn val="ctr"/>
        <c:lblOffset val="100"/>
        <c:noMultiLvlLbl val="0"/>
      </c:catAx>
      <c:valAx>
        <c:axId val="127753601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7539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[2025 T3 MIS171 Assignment 1 Data.xlsx]Chart 4!PivotTable18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Vehicle</a:t>
            </a:r>
            <a:r>
              <a:rPr lang="en-US" baseline="0"/>
              <a:t> Charging Speeds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 4'!$B$1</c:f>
              <c:strCache>
                <c:ptCount val="1"/>
                <c:pt idx="0">
                  <c:v>Total</c:v>
                </c:pt>
              </c:strCache>
            </c:strRef>
          </c:tx>
          <c:spPr>
            <a:solidFill>
              <a:schemeClr val="accent1"/>
            </a:solidFill>
            <a:ln>
              <a:noFill/>
            </a:ln>
            <a:effectLst/>
          </c:spPr>
          <c:invertIfNegative val="0"/>
          <c:cat>
            <c:strRef>
              <c:f>'Chart 4'!$A$2:$A$7</c:f>
              <c:strCache>
                <c:ptCount val="5"/>
                <c:pt idx="0">
                  <c:v>BMW M3</c:v>
                </c:pt>
                <c:pt idx="1">
                  <c:v>Chevrolet Bolt LT</c:v>
                </c:pt>
                <c:pt idx="2">
                  <c:v>Hyundai Ioniq 5 N</c:v>
                </c:pt>
                <c:pt idx="3">
                  <c:v>Nissan Leaf</c:v>
                </c:pt>
                <c:pt idx="4">
                  <c:v>Tesla Model Y</c:v>
                </c:pt>
              </c:strCache>
            </c:strRef>
          </c:cat>
          <c:val>
            <c:numRef>
              <c:f>'Chart 4'!$B$2:$B$7</c:f>
              <c:numCache>
                <c:formatCode>0.00</c:formatCode>
                <c:ptCount val="5"/>
                <c:pt idx="0">
                  <c:v>2.1276150955182485</c:v>
                </c:pt>
                <c:pt idx="1">
                  <c:v>2.4926570369782612</c:v>
                </c:pt>
                <c:pt idx="2">
                  <c:v>2.2958086087241374</c:v>
                </c:pt>
                <c:pt idx="3">
                  <c:v>2.1918732080068497</c:v>
                </c:pt>
                <c:pt idx="4">
                  <c:v>2.3086825874258055</c:v>
                </c:pt>
              </c:numCache>
            </c:numRef>
          </c:val>
          <c:extLst>
            <c:ext xmlns:c16="http://schemas.microsoft.com/office/drawing/2014/chart" uri="{C3380CC4-5D6E-409C-BE32-E72D297353CC}">
              <c16:uniqueId val="{00000000-1667-4B2E-964C-985D9F07CA68}"/>
            </c:ext>
          </c:extLst>
        </c:ser>
        <c:dLbls>
          <c:showLegendKey val="0"/>
          <c:showVal val="0"/>
          <c:showCatName val="0"/>
          <c:showSerName val="0"/>
          <c:showPercent val="0"/>
          <c:showBubbleSize val="0"/>
        </c:dLbls>
        <c:gapWidth val="219"/>
        <c:overlap val="-27"/>
        <c:axId val="1316938079"/>
        <c:axId val="1316954879"/>
      </c:barChart>
      <c:catAx>
        <c:axId val="1316938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954879"/>
        <c:crosses val="autoZero"/>
        <c:auto val="1"/>
        <c:lblAlgn val="ctr"/>
        <c:lblOffset val="100"/>
        <c:noMultiLvlLbl val="0"/>
      </c:catAx>
      <c:valAx>
        <c:axId val="13169548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938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[2025 T3 MIS171 Assignment 1 Data.xlsx]Chart 5!PivotTable21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 5'!$B$1</c:f>
              <c:strCache>
                <c:ptCount val="1"/>
                <c:pt idx="0">
                  <c:v>Total</c:v>
                </c:pt>
              </c:strCache>
            </c:strRef>
          </c:tx>
          <c:spPr>
            <a:solidFill>
              <a:schemeClr val="accent1"/>
            </a:solidFill>
            <a:ln>
              <a:noFill/>
            </a:ln>
            <a:effectLst/>
          </c:spPr>
          <c:invertIfNegative val="0"/>
          <c:cat>
            <c:strRef>
              <c:f>'Chart 5'!$A$2:$A$7</c:f>
              <c:strCache>
                <c:ptCount val="5"/>
                <c:pt idx="0">
                  <c:v>Ballarat</c:v>
                </c:pt>
                <c:pt idx="1">
                  <c:v>Bendigo</c:v>
                </c:pt>
                <c:pt idx="2">
                  <c:v>Burwood</c:v>
                </c:pt>
                <c:pt idx="3">
                  <c:v>Footscray</c:v>
                </c:pt>
                <c:pt idx="4">
                  <c:v>Geelong</c:v>
                </c:pt>
              </c:strCache>
            </c:strRef>
          </c:cat>
          <c:val>
            <c:numRef>
              <c:f>'Chart 5'!$B$2:$B$7</c:f>
              <c:numCache>
                <c:formatCode>0.00</c:formatCode>
                <c:ptCount val="5"/>
                <c:pt idx="0">
                  <c:v>45.797797311219867</c:v>
                </c:pt>
                <c:pt idx="1">
                  <c:v>42.822714475108114</c:v>
                </c:pt>
                <c:pt idx="2">
                  <c:v>42.869779417338023</c:v>
                </c:pt>
                <c:pt idx="3">
                  <c:v>42.491820504394724</c:v>
                </c:pt>
                <c:pt idx="4">
                  <c:v>44.099887055615945</c:v>
                </c:pt>
              </c:numCache>
            </c:numRef>
          </c:val>
          <c:extLst>
            <c:ext xmlns:c16="http://schemas.microsoft.com/office/drawing/2014/chart" uri="{C3380CC4-5D6E-409C-BE32-E72D297353CC}">
              <c16:uniqueId val="{00000000-808E-49F3-8D45-D8FD1FB8BDFB}"/>
            </c:ext>
          </c:extLst>
        </c:ser>
        <c:dLbls>
          <c:showLegendKey val="0"/>
          <c:showVal val="0"/>
          <c:showCatName val="0"/>
          <c:showSerName val="0"/>
          <c:showPercent val="0"/>
          <c:showBubbleSize val="0"/>
        </c:dLbls>
        <c:gapWidth val="219"/>
        <c:overlap val="-27"/>
        <c:axId val="1277565775"/>
        <c:axId val="1277560015"/>
      </c:barChart>
      <c:catAx>
        <c:axId val="1277565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7560015"/>
        <c:crosses val="autoZero"/>
        <c:auto val="1"/>
        <c:lblAlgn val="ctr"/>
        <c:lblOffset val="100"/>
        <c:noMultiLvlLbl val="0"/>
      </c:catAx>
      <c:valAx>
        <c:axId val="127756001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7565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3">
  <a:schemeClr val="accent3"/>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03">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607784</xdr:colOff>
      <xdr:row>2</xdr:row>
      <xdr:rowOff>175007</xdr:rowOff>
    </xdr:from>
    <xdr:to>
      <xdr:col>11</xdr:col>
      <xdr:colOff>769255</xdr:colOff>
      <xdr:row>19</xdr:row>
      <xdr:rowOff>16802</xdr:rowOff>
    </xdr:to>
    <xdr:graphicFrame macro="">
      <xdr:nvGraphicFramePr>
        <xdr:cNvPr id="2" name="Chart 1">
          <a:extLst>
            <a:ext uri="{FF2B5EF4-FFF2-40B4-BE49-F238E27FC236}">
              <a16:creationId xmlns:a16="http://schemas.microsoft.com/office/drawing/2014/main" id="{F4FE273B-E293-4700-AB0B-14DE968A3D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1057767</xdr:colOff>
      <xdr:row>19</xdr:row>
      <xdr:rowOff>159765</xdr:rowOff>
    </xdr:from>
    <xdr:to>
      <xdr:col>20</xdr:col>
      <xdr:colOff>593083</xdr:colOff>
      <xdr:row>35</xdr:row>
      <xdr:rowOff>182988</xdr:rowOff>
    </xdr:to>
    <xdr:graphicFrame macro="">
      <xdr:nvGraphicFramePr>
        <xdr:cNvPr id="3" name="Chart 2">
          <a:extLst>
            <a:ext uri="{FF2B5EF4-FFF2-40B4-BE49-F238E27FC236}">
              <a16:creationId xmlns:a16="http://schemas.microsoft.com/office/drawing/2014/main" id="{F2D54D0A-CB41-4E4B-90C2-8D657FEB94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2239873</xdr:colOff>
      <xdr:row>2</xdr:row>
      <xdr:rowOff>169220</xdr:rowOff>
    </xdr:from>
    <xdr:to>
      <xdr:col>20</xdr:col>
      <xdr:colOff>596130</xdr:colOff>
      <xdr:row>19</xdr:row>
      <xdr:rowOff>11015</xdr:rowOff>
    </xdr:to>
    <xdr:graphicFrame macro="">
      <xdr:nvGraphicFramePr>
        <xdr:cNvPr id="4" name="Chart 3">
          <a:extLst>
            <a:ext uri="{FF2B5EF4-FFF2-40B4-BE49-F238E27FC236}">
              <a16:creationId xmlns:a16="http://schemas.microsoft.com/office/drawing/2014/main" id="{CDE1786C-C8F4-46CA-AABD-CF094CFF3B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3400</xdr:colOff>
      <xdr:row>19</xdr:row>
      <xdr:rowOff>155663</xdr:rowOff>
    </xdr:from>
    <xdr:to>
      <xdr:col>11</xdr:col>
      <xdr:colOff>774471</xdr:colOff>
      <xdr:row>35</xdr:row>
      <xdr:rowOff>178886</xdr:rowOff>
    </xdr:to>
    <xdr:graphicFrame macro="">
      <xdr:nvGraphicFramePr>
        <xdr:cNvPr id="5" name="Chart 4">
          <a:extLst>
            <a:ext uri="{FF2B5EF4-FFF2-40B4-BE49-F238E27FC236}">
              <a16:creationId xmlns:a16="http://schemas.microsoft.com/office/drawing/2014/main" id="{FAC43EC9-15AA-4B5C-A814-E5B14D2A40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76786</xdr:colOff>
      <xdr:row>3</xdr:row>
      <xdr:rowOff>137745</xdr:rowOff>
    </xdr:from>
    <xdr:to>
      <xdr:col>3</xdr:col>
      <xdr:colOff>492369</xdr:colOff>
      <xdr:row>10</xdr:row>
      <xdr:rowOff>82060</xdr:rowOff>
    </xdr:to>
    <mc:AlternateContent xmlns:mc="http://schemas.openxmlformats.org/markup-compatibility/2006" xmlns:a14="http://schemas.microsoft.com/office/drawing/2010/main">
      <mc:Choice Requires="a14">
        <xdr:graphicFrame macro="">
          <xdr:nvGraphicFramePr>
            <xdr:cNvPr id="8" name="Filter by User Type">
              <a:extLst>
                <a:ext uri="{FF2B5EF4-FFF2-40B4-BE49-F238E27FC236}">
                  <a16:creationId xmlns:a16="http://schemas.microsoft.com/office/drawing/2014/main" id="{865C18F2-6BE9-2048-1414-4D7C5625B4E1}"/>
                </a:ext>
              </a:extLst>
            </xdr:cNvPr>
            <xdr:cNvGraphicFramePr/>
          </xdr:nvGraphicFramePr>
          <xdr:xfrm>
            <a:off x="0" y="0"/>
            <a:ext cx="0" cy="0"/>
          </xdr:xfrm>
          <a:graphic>
            <a:graphicData uri="http://schemas.microsoft.com/office/drawing/2010/slicer">
              <sle:slicer xmlns:sle="http://schemas.microsoft.com/office/drawing/2010/slicer" name="Filter by User Type"/>
            </a:graphicData>
          </a:graphic>
        </xdr:graphicFrame>
      </mc:Choice>
      <mc:Fallback xmlns="">
        <xdr:sp macro="" textlink="">
          <xdr:nvSpPr>
            <xdr:cNvPr id="0" name=""/>
            <xdr:cNvSpPr>
              <a:spLocks noTextEdit="1"/>
            </xdr:cNvSpPr>
          </xdr:nvSpPr>
          <xdr:spPr>
            <a:xfrm>
              <a:off x="686386" y="703802"/>
              <a:ext cx="1634783" cy="12397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77288</xdr:colOff>
      <xdr:row>10</xdr:row>
      <xdr:rowOff>146958</xdr:rowOff>
    </xdr:from>
    <xdr:to>
      <xdr:col>3</xdr:col>
      <xdr:colOff>478971</xdr:colOff>
      <xdr:row>18</xdr:row>
      <xdr:rowOff>152401</xdr:rowOff>
    </xdr:to>
    <mc:AlternateContent xmlns:mc="http://schemas.openxmlformats.org/markup-compatibility/2006" xmlns:a14="http://schemas.microsoft.com/office/drawing/2010/main">
      <mc:Choice Requires="a14">
        <xdr:graphicFrame macro="">
          <xdr:nvGraphicFramePr>
            <xdr:cNvPr id="9" name="Time of Day">
              <a:extLst>
                <a:ext uri="{FF2B5EF4-FFF2-40B4-BE49-F238E27FC236}">
                  <a16:creationId xmlns:a16="http://schemas.microsoft.com/office/drawing/2014/main" id="{E69AAFED-EB05-46A9-4F39-2966E56502B1}"/>
                </a:ext>
              </a:extLst>
            </xdr:cNvPr>
            <xdr:cNvGraphicFramePr/>
          </xdr:nvGraphicFramePr>
          <xdr:xfrm>
            <a:off x="0" y="0"/>
            <a:ext cx="0" cy="0"/>
          </xdr:xfrm>
          <a:graphic>
            <a:graphicData uri="http://schemas.microsoft.com/office/drawing/2010/slicer">
              <sle:slicer xmlns:sle="http://schemas.microsoft.com/office/drawing/2010/slicer" name="Time of Day"/>
            </a:graphicData>
          </a:graphic>
        </xdr:graphicFrame>
      </mc:Choice>
      <mc:Fallback xmlns="">
        <xdr:sp macro="" textlink="">
          <xdr:nvSpPr>
            <xdr:cNvPr id="0" name=""/>
            <xdr:cNvSpPr>
              <a:spLocks noTextEdit="1"/>
            </xdr:cNvSpPr>
          </xdr:nvSpPr>
          <xdr:spPr>
            <a:xfrm>
              <a:off x="686888" y="2008415"/>
              <a:ext cx="1620883" cy="1485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88174</xdr:colOff>
      <xdr:row>19</xdr:row>
      <xdr:rowOff>48987</xdr:rowOff>
    </xdr:from>
    <xdr:to>
      <xdr:col>3</xdr:col>
      <xdr:colOff>478971</xdr:colOff>
      <xdr:row>25</xdr:row>
      <xdr:rowOff>130629</xdr:rowOff>
    </xdr:to>
    <mc:AlternateContent xmlns:mc="http://schemas.openxmlformats.org/markup-compatibility/2006" xmlns:a14="http://schemas.microsoft.com/office/drawing/2010/main">
      <mc:Choice Requires="a14">
        <xdr:graphicFrame macro="">
          <xdr:nvGraphicFramePr>
            <xdr:cNvPr id="10" name="Charger Type">
              <a:extLst>
                <a:ext uri="{FF2B5EF4-FFF2-40B4-BE49-F238E27FC236}">
                  <a16:creationId xmlns:a16="http://schemas.microsoft.com/office/drawing/2014/main" id="{A4A99DDA-C94E-655A-0199-166CF5301FBA}"/>
                </a:ext>
              </a:extLst>
            </xdr:cNvPr>
            <xdr:cNvGraphicFramePr/>
          </xdr:nvGraphicFramePr>
          <xdr:xfrm>
            <a:off x="0" y="0"/>
            <a:ext cx="0" cy="0"/>
          </xdr:xfrm>
          <a:graphic>
            <a:graphicData uri="http://schemas.microsoft.com/office/drawing/2010/slicer">
              <sle:slicer xmlns:sle="http://schemas.microsoft.com/office/drawing/2010/slicer" name="Charger Type"/>
            </a:graphicData>
          </a:graphic>
        </xdr:graphicFrame>
      </mc:Choice>
      <mc:Fallback xmlns="">
        <xdr:sp macro="" textlink="">
          <xdr:nvSpPr>
            <xdr:cNvPr id="0" name=""/>
            <xdr:cNvSpPr>
              <a:spLocks noTextEdit="1"/>
            </xdr:cNvSpPr>
          </xdr:nvSpPr>
          <xdr:spPr>
            <a:xfrm>
              <a:off x="697774" y="3575958"/>
              <a:ext cx="1609997" cy="11919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87085</xdr:colOff>
      <xdr:row>26</xdr:row>
      <xdr:rowOff>27216</xdr:rowOff>
    </xdr:from>
    <xdr:to>
      <xdr:col>3</xdr:col>
      <xdr:colOff>446314</xdr:colOff>
      <xdr:row>35</xdr:row>
      <xdr:rowOff>119743</xdr:rowOff>
    </xdr:to>
    <mc:AlternateContent xmlns:mc="http://schemas.openxmlformats.org/markup-compatibility/2006" xmlns:a14="http://schemas.microsoft.com/office/drawing/2010/main">
      <mc:Choice Requires="a14">
        <xdr:graphicFrame macro="">
          <xdr:nvGraphicFramePr>
            <xdr:cNvPr id="11" name="Charging Station Location">
              <a:extLst>
                <a:ext uri="{FF2B5EF4-FFF2-40B4-BE49-F238E27FC236}">
                  <a16:creationId xmlns:a16="http://schemas.microsoft.com/office/drawing/2014/main" id="{8D95CF13-D2C8-5166-DC0E-218C83ED9D0D}"/>
                </a:ext>
              </a:extLst>
            </xdr:cNvPr>
            <xdr:cNvGraphicFramePr/>
          </xdr:nvGraphicFramePr>
          <xdr:xfrm>
            <a:off x="0" y="0"/>
            <a:ext cx="0" cy="0"/>
          </xdr:xfrm>
          <a:graphic>
            <a:graphicData uri="http://schemas.microsoft.com/office/drawing/2010/slicer">
              <sle:slicer xmlns:sle="http://schemas.microsoft.com/office/drawing/2010/slicer" name="Charging Station Location"/>
            </a:graphicData>
          </a:graphic>
        </xdr:graphicFrame>
      </mc:Choice>
      <mc:Fallback xmlns="">
        <xdr:sp macro="" textlink="">
          <xdr:nvSpPr>
            <xdr:cNvPr id="0" name=""/>
            <xdr:cNvSpPr>
              <a:spLocks noTextEdit="1"/>
            </xdr:cNvSpPr>
          </xdr:nvSpPr>
          <xdr:spPr>
            <a:xfrm>
              <a:off x="696685" y="4849587"/>
              <a:ext cx="1578429" cy="17580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441960</xdr:colOff>
      <xdr:row>1</xdr:row>
      <xdr:rowOff>106680</xdr:rowOff>
    </xdr:from>
    <xdr:to>
      <xdr:col>10</xdr:col>
      <xdr:colOff>137160</xdr:colOff>
      <xdr:row>16</xdr:row>
      <xdr:rowOff>106680</xdr:rowOff>
    </xdr:to>
    <xdr:graphicFrame macro="">
      <xdr:nvGraphicFramePr>
        <xdr:cNvPr id="2" name="Chart 1">
          <a:extLst>
            <a:ext uri="{FF2B5EF4-FFF2-40B4-BE49-F238E27FC236}">
              <a16:creationId xmlns:a16="http://schemas.microsoft.com/office/drawing/2014/main" id="{2908D8FA-8E8F-5033-D009-3C1CFA16E6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502920</xdr:colOff>
      <xdr:row>4</xdr:row>
      <xdr:rowOff>68580</xdr:rowOff>
    </xdr:from>
    <xdr:to>
      <xdr:col>14</xdr:col>
      <xdr:colOff>259080</xdr:colOff>
      <xdr:row>19</xdr:row>
      <xdr:rowOff>68580</xdr:rowOff>
    </xdr:to>
    <xdr:graphicFrame macro="">
      <xdr:nvGraphicFramePr>
        <xdr:cNvPr id="2" name="Chart 1">
          <a:extLst>
            <a:ext uri="{FF2B5EF4-FFF2-40B4-BE49-F238E27FC236}">
              <a16:creationId xmlns:a16="http://schemas.microsoft.com/office/drawing/2014/main" id="{8F9E7095-28AD-0D78-063D-650182C050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BA427B34-0D21-C390-1701-1A0746CD82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525780</xdr:colOff>
      <xdr:row>0</xdr:row>
      <xdr:rowOff>160020</xdr:rowOff>
    </xdr:from>
    <xdr:to>
      <xdr:col>11</xdr:col>
      <xdr:colOff>426720</xdr:colOff>
      <xdr:row>15</xdr:row>
      <xdr:rowOff>160020</xdr:rowOff>
    </xdr:to>
    <xdr:graphicFrame macro="">
      <xdr:nvGraphicFramePr>
        <xdr:cNvPr id="2" name="Chart 1">
          <a:extLst>
            <a:ext uri="{FF2B5EF4-FFF2-40B4-BE49-F238E27FC236}">
              <a16:creationId xmlns:a16="http://schemas.microsoft.com/office/drawing/2014/main" id="{85BC5035-62C5-A51D-D0A3-2128371FAC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A1440066-8B15-100D-CC47-4CF1E0DB1E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iet Thong" refreshedDate="45986.553909259259" createdVersion="8" refreshedVersion="8" minRefreshableVersion="3" recordCount="721" xr:uid="{B1EACB5D-F8FE-41CA-9C4E-E394044F4B1F}">
  <cacheSource type="worksheet">
    <worksheetSource ref="A1:P722" sheet="EcoCharge Solutions Dataset"/>
  </cacheSource>
  <cacheFields count="16">
    <cacheField name="User ID" numFmtId="0">
      <sharedItems/>
    </cacheField>
    <cacheField name="Vehicle Model" numFmtId="0">
      <sharedItems count="5">
        <s v="BMW M3"/>
        <s v="Hyundai Ioniq 5 N"/>
        <s v="Chevrolet Bolt LT"/>
        <s v="Tesla Model Y"/>
        <s v="Nissan Leaf"/>
      </sharedItems>
    </cacheField>
    <cacheField name="Battery Capacity (kWh)" numFmtId="1">
      <sharedItems containsSemiMixedTypes="0" containsString="0" containsNumber="1" minValue="1.5365397430000001" maxValue="179.01305780000001"/>
    </cacheField>
    <cacheField name="Charging Station Location" numFmtId="0">
      <sharedItems count="5">
        <s v="Ballarat"/>
        <s v="Geelong"/>
        <s v="Burwood"/>
        <s v="Footscray"/>
        <s v="Bendigo"/>
      </sharedItems>
    </cacheField>
    <cacheField name="Energy Consumed (kWh)" numFmtId="2">
      <sharedItems containsSemiMixedTypes="0" containsString="0" containsNumber="1" minValue="1.7545202339999999" maxValue="152.23875799999999"/>
    </cacheField>
    <cacheField name="Charging Duration (hours)" numFmtId="2">
      <sharedItems containsSemiMixedTypes="0" containsString="0" containsNumber="1" minValue="9.5314416999999999E-2" maxValue="7.6351447590000001"/>
    </cacheField>
    <cacheField name="Charging Rate (kW)" numFmtId="2">
      <sharedItems containsSemiMixedTypes="0" containsString="0" containsNumber="1" minValue="1.4725491390000001" maxValue="67.934678930000004"/>
    </cacheField>
    <cacheField name="Time of Day" numFmtId="0">
      <sharedItems count="4">
        <s v="Evening"/>
        <s v="Morning"/>
        <s v="Afternoon"/>
        <s v="Night"/>
      </sharedItems>
    </cacheField>
    <cacheField name="State of Charge (Start %)" numFmtId="2">
      <sharedItems containsSemiMixedTypes="0" containsString="0" containsNumber="1" minValue="2.3259589950000001" maxValue="90.699399690000007"/>
    </cacheField>
    <cacheField name="State of Charge (End %)" numFmtId="2">
      <sharedItems containsSemiMixedTypes="0" containsString="0" containsNumber="1" minValue="31.80402101" maxValue="177.70866649999999"/>
    </cacheField>
    <cacheField name="Temperature (°C)" numFmtId="164">
      <sharedItems containsSemiMixedTypes="0" containsString="0" containsNumber="1" minValue="9.9608330000000005E-3" maxValue="73.169587969999995" count="721">
        <n v="27.94795306"/>
        <n v="27.51201936"/>
        <n v="7.8790434349999998"/>
        <n v="31.47819368"/>
        <n v="28.843991320000001"/>
        <n v="37.902021210000001"/>
        <n v="18.04509607"/>
        <n v="4.9456020599999997"/>
        <n v="2.773001448"/>
        <n v="5.4439604060000004"/>
        <n v="29.373846400000001"/>
        <n v="11.39372419"/>
        <n v="39.774029900000002"/>
        <n v="2.6161262270000001"/>
        <n v="12.536190169999999"/>
        <n v="19.730892650000001"/>
        <n v="35.793153619999998"/>
        <n v="31.488732070000001"/>
        <n v="12.807352549999999"/>
        <n v="23.40301453"/>
        <n v="37.462706490000002"/>
        <n v="31.421900140000002"/>
        <n v="5.8795361540000002"/>
        <n v="30.51992151"/>
        <n v="6.6727664139999998"/>
        <n v="34.059341320000001"/>
        <n v="32.882702170000002"/>
        <n v="9.9539244290000006"/>
        <n v="26.203538519999999"/>
        <n v="27.055528150000001"/>
        <n v="14.38609316"/>
        <n v="19.457576530000001"/>
        <n v="73.169587969999995"/>
        <n v="25.002273729999999"/>
        <n v="38.568960760000003"/>
        <n v="35.401599279999999"/>
        <n v="37.805048130000003"/>
        <n v="30.722257110000001"/>
        <n v="23.7636599"/>
        <n v="33.785216509999998"/>
        <n v="19.636531569999999"/>
        <n v="13.41284737"/>
        <n v="1.940753851"/>
        <n v="35.749154760000003"/>
        <n v="11.888933959999999"/>
        <n v="5.0972289179999999"/>
        <n v="33.40477344"/>
        <n v="10.73912307"/>
        <n v="39.53379889"/>
        <n v="21.379288320000001"/>
        <n v="17.24178715"/>
        <n v="3.4429041709999999"/>
        <n v="13.419629560000001"/>
        <n v="34.022880069999999"/>
        <n v="36.151829849999999"/>
        <n v="33.791342370000002"/>
        <n v="31.87333447"/>
        <n v="30.285847539999999"/>
        <n v="4.97528595"/>
        <n v="18.748822100000002"/>
        <n v="23.906320050000001"/>
        <n v="0.50043356400000005"/>
        <n v="10.75337783"/>
        <n v="9.9608330000000005E-3"/>
        <n v="24.415749859999998"/>
        <n v="38.963863400000001"/>
        <n v="17.07536932"/>
        <n v="17.947029489999998"/>
        <n v="36.592539010000003"/>
        <n v="29.454212399999999"/>
        <n v="11.76834665"/>
        <n v="1.1026309089999999"/>
        <n v="2.483073707"/>
        <n v="4.8322955040000002"/>
        <n v="38.58891646"/>
        <n v="32.307338289999997"/>
        <n v="3.287417875"/>
        <n v="21.181387480000001"/>
        <n v="11.133741049999999"/>
        <n v="8.4125816100000002"/>
        <n v="0.400354873"/>
        <n v="26.827732099999999"/>
        <n v="42.739661050000002"/>
        <n v="28.513694449999999"/>
        <n v="7.5800392329999999"/>
        <n v="38.503272160000002"/>
        <n v="29.063687720000001"/>
        <n v="18.974092850000002"/>
        <n v="8.9541260670000007"/>
        <n v="26.677244859999998"/>
        <n v="14.564571129999999"/>
        <n v="37.28982997"/>
        <n v="36.663170800000003"/>
        <n v="9.2501484049999991"/>
        <n v="9.1878571769999997"/>
        <n v="1.3585055210000001"/>
        <n v="7.7913793519999999"/>
        <n v="35.769526769999999"/>
        <n v="18.59929374"/>
        <n v="34.42869924"/>
        <n v="33.893571379999997"/>
        <n v="26.066961750000001"/>
        <n v="13.659919049999999"/>
        <n v="29.880196470000001"/>
        <n v="11.697359730000001"/>
        <n v="38.363581119999999"/>
        <n v="19.02928781"/>
        <n v="38.738625239999998"/>
        <n v="37.330821980000003"/>
        <n v="12.40979589"/>
        <n v="7.8841054980000003"/>
        <n v="27.830930909999999"/>
        <n v="18.962712199999999"/>
        <n v="39.631908789999997"/>
        <n v="2.5012019699999999"/>
        <n v="18.455941630000002"/>
        <n v="3.369212622"/>
        <n v="15.24734965"/>
        <n v="38.66696331"/>
        <n v="19.165600699999999"/>
        <n v="19.74523435"/>
        <n v="8.2534816539999998"/>
        <n v="37.576726720000003"/>
        <n v="37.485347310000002"/>
        <n v="18.774884870000001"/>
        <n v="10.204876260000001"/>
        <n v="34.262611270000001"/>
        <n v="27.222157809999999"/>
        <n v="10.92631183"/>
        <n v="4.5996328279999998"/>
        <n v="7.1597033730000001"/>
        <n v="26.193341440000001"/>
        <n v="31.589057799999999"/>
        <n v="6.3855609769999999"/>
        <n v="2.2110839499999999"/>
        <n v="8.0139996179999997"/>
        <n v="15.72506388"/>
        <n v="37.731309000000003"/>
        <n v="0.87416465700000001"/>
        <n v="11.9953729"/>
        <n v="22.975563619999999"/>
        <n v="31.346857589999999"/>
        <n v="39.707429480000002"/>
        <n v="20.055112430000001"/>
        <n v="36.642490039999998"/>
        <n v="19.119130640000002"/>
        <n v="9.7912426809999999"/>
        <n v="3.9158330210000001"/>
        <n v="5.6521131039999997"/>
        <n v="2.241616906"/>
        <n v="31.057616840000001"/>
        <n v="15.95499673"/>
        <n v="25.426401930000001"/>
        <n v="26.229535909999999"/>
        <n v="25.320475699999999"/>
        <n v="0.66934563599999997"/>
        <n v="5.3200914619999997"/>
        <n v="6.2311445519999999"/>
        <n v="16.892296479999999"/>
        <n v="37.13153982"/>
        <n v="14.483399479999999"/>
        <n v="5.72735649"/>
        <n v="22.897385270000001"/>
        <n v="30.006274380000001"/>
        <n v="17.25836241"/>
        <n v="3.171791759"/>
        <n v="9.3831361649999998"/>
        <n v="18.390040020000001"/>
        <n v="12.61624144"/>
        <n v="14.33109535"/>
        <n v="14.394105489999999"/>
        <n v="14.641852950000001"/>
        <n v="13.02887814"/>
        <n v="5.0100278820000002"/>
        <n v="0.25910312699999999"/>
        <n v="31.980349799999999"/>
        <n v="22.669920269999999"/>
        <n v="15.36325798"/>
        <n v="33.49059845"/>
        <n v="29.53906344"/>
        <n v="37.118242330000001"/>
        <n v="0.71085760799999997"/>
        <n v="14.78523429"/>
        <n v="35.821776110000002"/>
        <n v="24.85134437"/>
        <n v="9.6265707339999995"/>
        <n v="23.662965360000001"/>
        <n v="39.207638269999997"/>
        <n v="31.5476432"/>
        <n v="23.601369779999999"/>
        <n v="33.93763723"/>
        <n v="21.696951349999999"/>
        <n v="18.979822939999998"/>
        <n v="29.239399649999999"/>
        <n v="7.7319673140000003"/>
        <n v="1.6308497239999999"/>
        <n v="1.919654703"/>
        <n v="34.029774639999999"/>
        <n v="20.358761019999999"/>
        <n v="17.522727669999998"/>
        <n v="7.1228470440000002"/>
        <n v="0.53411169300000005"/>
        <n v="33.018171299999999"/>
        <n v="14.123222459999999"/>
        <n v="34.110348639999998"/>
        <n v="3.8499140010000001"/>
        <n v="12.737924550000001"/>
        <n v="34.792821289999999"/>
        <n v="38.968136010000002"/>
        <n v="4.7618554670000002"/>
        <n v="19.189280920000002"/>
        <n v="9.5984911870000005"/>
        <n v="15.16931484"/>
        <n v="31.24889263"/>
        <n v="36.545063980000002"/>
        <n v="15.563710329999999"/>
        <n v="35.094058769999997"/>
        <n v="1.496665178"/>
        <n v="12.629501279999999"/>
        <n v="16.317675470000001"/>
        <n v="4.4153296190000004"/>
        <n v="11.492756180000001"/>
        <n v="18.405333150000001"/>
        <n v="24.759622239999999"/>
        <n v="7.1668681010000004"/>
        <n v="17.42486706"/>
        <n v="6.1705566210000002"/>
        <n v="4.7608097850000002"/>
        <n v="30.790815039999998"/>
        <n v="18.405709049999999"/>
        <n v="18.459977609999999"/>
        <n v="27.54479108"/>
        <n v="23.72798354"/>
        <n v="20.623514069999999"/>
        <n v="28.730037320000001"/>
        <n v="3.0496907700000002"/>
        <n v="11.442580469999999"/>
        <n v="21.384321719999999"/>
        <n v="1.8566578229999999"/>
        <n v="14.31102566"/>
        <n v="9.2024098920000004"/>
        <n v="4.7411808009999996"/>
        <n v="7.3776469540000003"/>
        <n v="19.264894399999999"/>
        <n v="28.16679401"/>
        <n v="20.808674270000001"/>
        <n v="33.980310099999997"/>
        <n v="29.561548479999999"/>
        <n v="24.923368320000002"/>
        <n v="25.9360821"/>
        <n v="33.860787700000003"/>
        <n v="31.91759862"/>
        <n v="24.321458360000001"/>
        <n v="14.333455389999999"/>
        <n v="6.4343614469999997"/>
        <n v="15.72519595"/>
        <n v="33.505860239999997"/>
        <n v="20.427071949999998"/>
        <n v="25.428088209999999"/>
        <n v="2.803936969"/>
        <n v="39.958937319999997"/>
        <n v="29.93933285"/>
        <n v="26.873897329999998"/>
        <n v="11.72918175"/>
        <n v="29.4030223"/>
        <n v="3.580839954"/>
        <n v="38.188672760000003"/>
        <n v="5.7985721100000003"/>
        <n v="30.128829939999999"/>
        <n v="19.176670439999999"/>
        <n v="12.87049397"/>
        <n v="10.64900727"/>
        <n v="1.081182965"/>
        <n v="28.694656949999999"/>
        <n v="16.46756864"/>
        <n v="11.257475680000001"/>
        <n v="39.802406249999997"/>
        <n v="35.589301169999999"/>
        <n v="2.7908441669999999"/>
        <n v="7.1364856220000004"/>
        <n v="7.6843568080000004"/>
        <n v="10.38484263"/>
        <n v="28.05657768"/>
        <n v="25.203501729999999"/>
        <n v="2.3311151639999999"/>
        <n v="33.281956030000003"/>
        <n v="7.936964701"/>
        <n v="38.771438080000003"/>
        <n v="25.926677009999999"/>
        <n v="20.83100013"/>
        <n v="29.249086599999998"/>
        <n v="6.3255636519999996"/>
        <n v="21.002001839999998"/>
        <n v="12.333415370000001"/>
        <n v="32.634490149999998"/>
        <n v="4.0688530360000001"/>
        <n v="14.538649319999999"/>
        <n v="26.694888259999999"/>
        <n v="8.3168221209999995"/>
        <n v="26.511767469999999"/>
        <n v="31.464224789999999"/>
        <n v="12.62900175"/>
        <n v="4.0579937370000003"/>
        <n v="1.7308596220000001"/>
        <n v="21.123505819999998"/>
        <n v="11.126462849999999"/>
        <n v="0.39725980599999999"/>
        <n v="14.17776327"/>
        <n v="9.9901996369999999"/>
        <n v="16.972016790000001"/>
        <n v="39.384013920000001"/>
        <n v="35.704863860000003"/>
        <n v="12.247398909999999"/>
        <n v="33.23430132"/>
        <n v="8.3301583560000001"/>
        <n v="14.27625134"/>
        <n v="13.991597479999999"/>
        <n v="37.101188430000001"/>
        <n v="25.12730865"/>
        <n v="13.354387170000001"/>
        <n v="12.26524373"/>
        <n v="28.42980738"/>
        <n v="27.955437209999999"/>
        <n v="20.465566169999999"/>
        <n v="3.4993413769999999"/>
        <n v="0.94764505099999996"/>
        <n v="34.082187759999997"/>
        <n v="29.114380270000002"/>
        <n v="13.194479360000001"/>
        <n v="59.93197387"/>
        <n v="15.41843342"/>
        <n v="2.5942497260000001"/>
        <n v="25.109612250000001"/>
        <n v="36.826583980000002"/>
        <n v="34.95455888"/>
        <n v="16.830516159999998"/>
        <n v="34.297789399999999"/>
        <n v="14.20548992"/>
        <n v="0.16699760499999999"/>
        <n v="37.528822640000001"/>
        <n v="17.596802360000002"/>
        <n v="32.57385369"/>
        <n v="14.240494890000001"/>
        <n v="33.729320770000001"/>
        <n v="33.92957037"/>
        <n v="4.2060906390000001"/>
        <n v="12.254928639999999"/>
        <n v="1.6535023010000001"/>
        <n v="30.593877930000001"/>
        <n v="6.7863533909999996"/>
        <n v="6.7417676440000003"/>
        <n v="6.8768972819999998"/>
        <n v="12.32638948"/>
        <n v="18.000127030000002"/>
        <n v="20.98749334"/>
        <n v="22.883741260000001"/>
        <n v="38.31631316"/>
        <n v="37.899071589999998"/>
        <n v="21.85316589"/>
        <n v="36.088928879999997"/>
        <n v="32.538820530000002"/>
        <n v="28.898031700000001"/>
        <n v="22.189261170000002"/>
        <n v="20.56538827"/>
        <n v="26.1756259"/>
        <n v="36.035150059999999"/>
        <n v="6.8728741180000004"/>
        <n v="23.05944663"/>
        <n v="19.781083890000001"/>
        <n v="21.276982360000002"/>
        <n v="8.1991069949999993"/>
        <n v="4.4857959589999998"/>
        <n v="37.207219240000001"/>
        <n v="6.2333139539999998"/>
        <n v="39.416130920000001"/>
        <n v="18.959555819999999"/>
        <n v="27.28334186"/>
        <n v="38.452027219999998"/>
        <n v="10.74680105"/>
        <n v="4.7199333509999999"/>
        <n v="45.753347669999997"/>
        <n v="5.2640356519999996"/>
        <n v="22.069470800000001"/>
        <n v="36.810824910000001"/>
        <n v="16.97617108"/>
        <n v="13.520221299999999"/>
        <n v="13.91915988"/>
        <n v="34.422203590000002"/>
        <n v="17.14920107"/>
        <n v="9.6879735650000001"/>
        <n v="24.248371819999999"/>
        <n v="35.800577359999998"/>
        <n v="39.911736179999998"/>
        <n v="4.6909699790000001"/>
        <n v="2.0373396210000001"/>
        <n v="37.665443160000002"/>
        <n v="4.619965681"/>
        <n v="37.199558570000001"/>
        <n v="3.1941246419999998"/>
        <n v="10.837702739999999"/>
        <n v="11.7963311"/>
        <n v="26.153668669999998"/>
        <n v="27.89517678"/>
        <n v="11.05077489"/>
        <n v="29.298692119999998"/>
        <n v="3.2442471290000001"/>
        <n v="34.209461390000001"/>
        <n v="37.014167350000001"/>
        <n v="7.5412406760000001"/>
        <n v="22.325250359999998"/>
        <n v="27.334094279999999"/>
        <n v="40.255496860000001"/>
        <n v="1.7816978530000001"/>
        <n v="36.38826993"/>
        <n v="5.378079584"/>
        <n v="17.890667690000001"/>
        <n v="11.10232879"/>
        <n v="18.617459119999999"/>
        <n v="22.73671045"/>
        <n v="20.705218739999999"/>
        <n v="29.95583092"/>
        <n v="15.72386244"/>
        <n v="36.158845220000003"/>
        <n v="30.691983799999999"/>
        <n v="26.515870840000002"/>
        <n v="5.413055945"/>
        <n v="26.351977890000001"/>
        <n v="38.078463579999998"/>
        <n v="39.702759370000003"/>
        <n v="34.632246989999999"/>
        <n v="5.5431292870000002"/>
        <n v="7.5017985249999999"/>
        <n v="5.9378261459999999"/>
        <n v="37.440012539999998"/>
        <n v="17.675093650000001"/>
        <n v="6.2700191360000002"/>
        <n v="28.11987388"/>
        <n v="5.9220508980000002"/>
        <n v="7.0669943599999998"/>
        <n v="15.693085590000001"/>
        <n v="8.2234429420000001"/>
        <n v="18.7966227"/>
        <n v="37.891269250000001"/>
        <n v="10.57069012"/>
        <n v="19.70335918"/>
        <n v="27.186087400000002"/>
        <n v="37.252319900000003"/>
        <n v="27.347052430000002"/>
        <n v="18.008274530000001"/>
        <n v="17.109240530000001"/>
        <n v="34.247652639999998"/>
        <n v="6.6590121499999997"/>
        <n v="3.042829341"/>
        <n v="31.528776100000002"/>
        <n v="9.7148108999999998"/>
        <n v="27.956887340000002"/>
        <n v="35.225496990000003"/>
        <n v="11.65767977"/>
        <n v="18.406878989999999"/>
        <n v="38.466779449999997"/>
        <n v="17.738683089999999"/>
        <n v="1.9017388289999999"/>
        <n v="21.976294159999998"/>
        <n v="32.745897569999997"/>
        <n v="15.61752057"/>
        <n v="36.041959300000002"/>
        <n v="5.1072306420000002"/>
        <n v="9.8932065100000006"/>
        <n v="15.64867364"/>
        <n v="21.52620216"/>
        <n v="22.170226469999999"/>
        <n v="17.414579079999999"/>
        <n v="12.457057799999999"/>
        <n v="36.048623460000002"/>
        <n v="35.818860229999999"/>
        <n v="12.38716533"/>
        <n v="33.057730810000002"/>
        <n v="30.897229939999999"/>
        <n v="32.060591850000002"/>
        <n v="31.302787519999999"/>
        <n v="0.37465934000000001"/>
        <n v="29.716280909999998"/>
        <n v="11.544380930000001"/>
        <n v="38.656443959999997"/>
        <n v="5.8900560329999996"/>
        <n v="11.712169599999999"/>
        <n v="8.0875928370000008"/>
        <n v="6.362088419"/>
        <n v="29.212784490000001"/>
        <n v="36.38338546"/>
        <n v="13.675135709999999"/>
        <n v="32.847219809999999"/>
        <n v="21.07846133"/>
        <n v="6.16119138"/>
        <n v="6.1712567089999997"/>
        <n v="4.7004631909999999"/>
        <n v="8.9045258559999994"/>
        <n v="21.51949832"/>
        <n v="15.83347081"/>
        <n v="16.60261302"/>
        <n v="35.01191455"/>
        <n v="30.28535776"/>
        <n v="16.719419179999999"/>
        <n v="5.5012716690000003"/>
        <n v="26.708940800000001"/>
        <n v="27.355370430000001"/>
        <n v="29.502613419999999"/>
        <n v="7.9416880919999997"/>
        <n v="10.675410149999999"/>
        <n v="29.81421521"/>
        <n v="3.8586586390000002"/>
        <n v="34.327524060000002"/>
        <n v="38.020090940000003"/>
        <n v="29.028763659999999"/>
        <n v="4.1624854710000001"/>
        <n v="31.508322979999999"/>
        <n v="19.901109389999998"/>
        <n v="15.03255201"/>
        <n v="18.387603460000001"/>
        <n v="16.48370594"/>
        <n v="8.2162711680000005"/>
        <n v="37.268214950000001"/>
        <n v="9.5689146800000007"/>
        <n v="39.930003200000002"/>
        <n v="23.8877427"/>
        <n v="36.520612980000003"/>
        <n v="26.504425569999999"/>
        <n v="14.121318219999999"/>
        <n v="1.309731242"/>
        <n v="26.953658529999998"/>
        <n v="4.7532580109999998"/>
        <n v="0.83058290899999998"/>
        <n v="21.293106510000001"/>
        <n v="28.419941089999998"/>
        <n v="18.966955540000001"/>
        <n v="24.381930400000002"/>
        <n v="17.199181249999999"/>
        <n v="27.55133468"/>
        <n v="2.8751587349999999"/>
        <n v="17.367661720000001"/>
        <n v="16.510934639999999"/>
        <n v="26.126200969999999"/>
        <n v="36.408809810000001"/>
        <n v="23.619396269999999"/>
        <n v="28.403851509999999"/>
        <n v="22.910199500000001"/>
        <n v="7.6626497090000001"/>
        <n v="19.67904953"/>
        <n v="30.188439160000001"/>
        <n v="1.195422059"/>
        <n v="17.396825809999999"/>
        <n v="16.694086240000001"/>
        <n v="19.21316449"/>
        <n v="37.395109150000003"/>
        <n v="9.1925147599999999"/>
        <n v="21.01240559"/>
        <n v="31.563179989999998"/>
        <n v="14.82620373"/>
        <n v="10.51156168"/>
        <n v="25.964996849999999"/>
        <n v="27.29212704"/>
        <n v="28.637604320000001"/>
        <n v="40.816740379999999"/>
        <n v="19.149838070000001"/>
        <n v="31.796549639999999"/>
        <n v="38.812689200000001"/>
        <n v="9.9942317599999999"/>
        <n v="20.014324469999998"/>
        <n v="7.6368503319999999"/>
        <n v="0.534567342"/>
        <n v="4.251871253"/>
        <n v="16.33644722"/>
        <n v="2.3152612210000001"/>
        <n v="21.294590530000001"/>
        <n v="25.407399760000001"/>
        <n v="23.949138649999998"/>
        <n v="23.33398201"/>
        <n v="14.086676389999999"/>
        <n v="18.23757818"/>
        <n v="25.04490616"/>
        <n v="15.055827450000001"/>
        <n v="18.03247339"/>
        <n v="13.54692893"/>
        <n v="36.03822598"/>
        <n v="22.47968921"/>
        <n v="39.83142977"/>
        <n v="35.697788719999998"/>
        <n v="20.01875008"/>
        <n v="32.227384129999997"/>
        <n v="25.58518973"/>
        <n v="27.817556969999998"/>
        <n v="21.453631640000001"/>
        <n v="33.546857129999999"/>
        <n v="30.955968940000002"/>
        <n v="16.52085958"/>
        <n v="18.153854750000001"/>
        <n v="7.1773224979999997"/>
        <n v="15.06062245"/>
        <n v="2.819187377"/>
        <n v="35.549524329999997"/>
        <n v="32.950430529999998"/>
        <n v="22.614182589999999"/>
        <n v="9.1139681859999992"/>
        <n v="23.69545557"/>
        <n v="1.496106621"/>
        <n v="2.5542438029999999"/>
        <n v="36.999915880000003"/>
        <n v="0.78653441700000004"/>
        <n v="19.856611579999999"/>
        <n v="8.0051723409999997"/>
        <n v="12.025622630000001"/>
        <n v="3.7068656820000001"/>
        <n v="4.8543091330000001"/>
        <n v="15.848155119999999"/>
        <n v="29.87608955"/>
        <n v="24.182121519999999"/>
        <n v="16.005488639999999"/>
        <n v="3.221734498"/>
        <n v="14.61983826"/>
        <n v="2.7655016899999998"/>
        <n v="11.007994869999999"/>
        <n v="47.318176149999999"/>
        <n v="37.58491867"/>
        <n v="38.790525199999998"/>
        <n v="5.8033894979999996"/>
        <n v="25.257121949999998"/>
        <n v="17.58806538"/>
        <n v="50.543943089999999"/>
        <n v="22.966643510000001"/>
        <n v="23.350394510000001"/>
        <n v="1.8254496870000001"/>
        <n v="24.411793930000002"/>
        <n v="69.48593769"/>
        <n v="32.607964199999998"/>
        <n v="15.8067718"/>
        <n v="5.6646126580000002"/>
        <n v="10.401511429999999"/>
        <n v="24.258156110000002"/>
        <n v="16.403827329999999"/>
        <n v="38.35167543"/>
        <n v="1.602716085"/>
        <n v="31.602356879999999"/>
        <n v="2.5905175229999999"/>
        <n v="16.052798429999999"/>
        <n v="30.57894722"/>
        <n v="12.98738853"/>
        <n v="19.10315318"/>
        <n v="5.2912608729999997"/>
        <n v="16.953094520000001"/>
        <n v="2.2490551700000001"/>
        <n v="1.8150805160000001"/>
        <n v="2.8441329180000001"/>
        <n v="9.2623270340000001"/>
        <n v="24.218407580000001"/>
        <n v="15.61240154"/>
        <n v="7.8090769580000003"/>
        <n v="12.970249709999999"/>
        <n v="8.663582495"/>
        <n v="19.092544199999999"/>
        <n v="2.3943156989999999"/>
        <n v="22.516706429999999"/>
        <n v="7.5168616530000003"/>
        <n v="12.4626365"/>
        <n v="4.8374120720000002"/>
        <n v="13.78180987"/>
        <n v="19.265184430000001"/>
        <n v="29.292791810000001"/>
        <n v="27.813135549999998"/>
        <n v="4.3384480280000002"/>
        <n v="37.4872674"/>
        <n v="34.586043789999998"/>
        <n v="39.54195636"/>
        <n v="3.3249448350000002"/>
        <n v="38.340821290000001"/>
        <n v="37.899791049999997"/>
        <n v="33.357231429999999"/>
        <n v="19.95036064"/>
        <n v="41.341079020000002"/>
        <n v="13.584474480000001"/>
        <n v="19.75721265"/>
        <n v="32.051478609999997"/>
        <n v="4.2699330690000004"/>
        <n v="18.329713510000001"/>
        <n v="4.7889277989999997"/>
        <n v="28.617521060000001"/>
        <n v="21.34994476"/>
        <n v="20.42209326"/>
        <n v="3.3129340260000002"/>
        <n v="37.879780799999999"/>
        <n v="9.4625080789999991"/>
        <n v="35.509869039999998"/>
        <n v="16.808358269999999"/>
        <n v="5.1846913790000002"/>
        <n v="8.6562549050000008"/>
        <n v="5.5696590410000004"/>
        <n v="23.156295050000001"/>
        <n v="2.882559621"/>
        <n v="3.7336963750000001"/>
        <n v="20.004205599999999"/>
        <n v="26.653568509999999"/>
        <n v="3.9270317879999999"/>
        <n v="6.3163032499999998"/>
        <n v="21.77882687"/>
        <n v="32.825599240000003"/>
        <n v="24.910424819999999"/>
        <n v="34.663455769999999"/>
        <n v="26.596317880000001"/>
        <n v="28.431211489999999"/>
        <n v="22.61348345"/>
        <n v="37.066599420000003"/>
        <n v="27.898502619999999"/>
        <n v="37.3068083"/>
        <n v="20.227937879999999"/>
        <n v="21.30411003"/>
        <n v="23.12049262"/>
        <n v="14.41868414"/>
        <n v="13.295608140000001"/>
        <n v="28.697433449999998"/>
        <n v="6.8000623820000001"/>
        <n v="32.524628909999997"/>
        <n v="1.8473705520000001"/>
      </sharedItems>
    </cacheField>
    <cacheField name="Vehicle Age (years)" numFmtId="1">
      <sharedItems containsSemiMixedTypes="0" containsString="0" containsNumber="1" minValue="0" maxValue="11.68859247" count="69">
        <n v="2"/>
        <n v="2.8303813070000001"/>
        <n v="7"/>
        <n v="1.038973299"/>
        <n v="5"/>
        <n v="0"/>
        <n v="1.058056667"/>
        <n v="4"/>
        <n v="3"/>
        <n v="6"/>
        <n v="0.81431449199999995"/>
        <n v="1"/>
        <n v="1.719888608"/>
        <n v="4.0230796489999996"/>
        <n v="6.454001345"/>
        <n v="4.4351522289999998"/>
        <n v="1.41310713"/>
        <n v="4.3875009690000004"/>
        <n v="5.352188076"/>
        <n v="2.396060329"/>
        <n v="2.1248355029999999"/>
        <n v="6.5610211270000001"/>
        <n v="2.0155741000000001E-2"/>
        <n v="0.190046926"/>
        <n v="0.84518962099999995"/>
        <n v="2.9288113309999999"/>
        <n v="1.803488242"/>
        <n v="6.4556122839999999"/>
        <n v="2.0076405890000002"/>
        <n v="3.2811166429999998"/>
        <n v="1.888037483"/>
        <n v="4.2579367030000004"/>
        <n v="7.5153086900000003"/>
        <n v="0.28840811100000002"/>
        <n v="1.755443935"/>
        <n v="3.176061926"/>
        <n v="3.1001692350000001"/>
        <n v="1.8091728680000001"/>
        <n v="8.0186657330000006"/>
        <n v="10.54723654"/>
        <n v="1.502868788"/>
        <n v="2.8179017169999998"/>
        <n v="2.941663235"/>
        <n v="2.0447442819999999"/>
        <n v="2.0817594650000002"/>
        <n v="2.6163324829999999"/>
        <n v="4.8149702029999997"/>
        <n v="6.8179706649999998"/>
        <n v="1.896445307"/>
        <n v="4.4157740089999997"/>
        <n v="2.5918513280000002"/>
        <n v="2.8254819699999998"/>
        <n v="7.1970415440000002"/>
        <n v="5.4897001520000002"/>
        <n v="0.68988665400000004"/>
        <n v="11.68859247"/>
        <n v="3.6970954090000001"/>
        <n v="3.043569798"/>
        <n v="1.2086330830000001"/>
        <n v="3.2863245719999998"/>
        <n v="8.8598257999999999E-2"/>
        <n v="3.73405531"/>
        <n v="4.7894567050000001"/>
        <n v="4.0626881490000004"/>
        <n v="0.35565278700000003"/>
        <n v="2.64765512"/>
        <n v="6.3773001389999999"/>
        <n v="4.186588285"/>
        <n v="10.634574410000001"/>
      </sharedItems>
    </cacheField>
    <cacheField name="Charger Type" numFmtId="0">
      <sharedItems count="3">
        <s v="DC Fast"/>
        <s v="Standard"/>
        <s v="Enhanced"/>
      </sharedItems>
    </cacheField>
    <cacheField name="User Type" numFmtId="0">
      <sharedItems count="3">
        <s v="Commuter"/>
        <s v="Casual Driver"/>
        <s v="Long-Distance Traveler"/>
      </sharedItems>
    </cacheField>
    <cacheField name="Charging Efficiency" numFmtId="2">
      <sharedItems containsSemiMixedTypes="0" containsString="0" containsNumber="1" minValue="2.7271333618110089E-2" maxValue="72.794151086118532"/>
    </cacheField>
    <cacheField name="Charging Effieciency Category" numFmtId="0">
      <sharedItems count="4">
        <s v="Outstanding"/>
        <s v="Superior"/>
        <s v="Acceptable"/>
        <s v="Low"/>
      </sharedItems>
    </cacheField>
  </cacheFields>
  <extLst>
    <ext xmlns:x14="http://schemas.microsoft.com/office/spreadsheetml/2009/9/main" uri="{725AE2AE-9491-48be-B2B4-4EB974FC3084}">
      <x14:pivotCacheDefinition pivotCacheId="871229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1">
  <r>
    <s v="User_1"/>
    <x v="0"/>
    <n v="108.4630074"/>
    <x v="0"/>
    <n v="60.712345730000003"/>
    <n v="0.59136342500000005"/>
    <n v="36.389180570000001"/>
    <x v="0"/>
    <n v="29.371575979999999"/>
    <n v="86.119962439999995"/>
    <x v="0"/>
    <x v="0"/>
    <x v="0"/>
    <x v="0"/>
    <n v="37.369059930620459"/>
    <x v="0"/>
  </r>
  <r>
    <s v="User_10"/>
    <x v="1"/>
    <n v="50"/>
    <x v="1"/>
    <n v="78.868607449999999"/>
    <n v="2.0268746910000002"/>
    <n v="11.760999719999999"/>
    <x v="1"/>
    <n v="27.399454630000001"/>
    <n v="70.053381380000005"/>
    <x v="1"/>
    <x v="1"/>
    <x v="0"/>
    <x v="0"/>
    <n v="16.820279025234022"/>
    <x v="1"/>
  </r>
  <r>
    <s v="User_1000"/>
    <x v="2"/>
    <n v="100"/>
    <x v="2"/>
    <n v="24.8745406"/>
    <n v="0.92715246699999998"/>
    <n v="11.44140758"/>
    <x v="0"/>
    <n v="33.945608729999996"/>
    <n v="58.135135099999999"/>
    <x v="2"/>
    <x v="2"/>
    <x v="1"/>
    <x v="0"/>
    <n v="6.0170335578533569"/>
    <x v="2"/>
  </r>
  <r>
    <s v="User_1001"/>
    <x v="0"/>
    <n v="62"/>
    <x v="1"/>
    <n v="54.362185740000001"/>
    <n v="1.925077717"/>
    <n v="36.361278630000001"/>
    <x v="1"/>
    <n v="46.387337670000001"/>
    <n v="77.340278710000007"/>
    <x v="3"/>
    <x v="2"/>
    <x v="2"/>
    <x v="1"/>
    <n v="10.432551086097645"/>
    <x v="1"/>
  </r>
  <r>
    <s v="User_1003"/>
    <x v="0"/>
    <n v="75"/>
    <x v="3"/>
    <n v="28.215649389999999"/>
    <n v="2.4068069240000001"/>
    <n v="23.693078849999999"/>
    <x v="2"/>
    <n v="18.517104289999999"/>
    <n v="86.579902430000004"/>
    <x v="4"/>
    <x v="3"/>
    <x v="2"/>
    <x v="0"/>
    <n v="14.403270366154384"/>
    <x v="1"/>
  </r>
  <r>
    <s v="User_1004"/>
    <x v="0"/>
    <n v="75"/>
    <x v="3"/>
    <n v="42.285534779999999"/>
    <n v="2.7118511289999998"/>
    <n v="19.16718328"/>
    <x v="1"/>
    <n v="89.039528910000001"/>
    <n v="98.831055070000005"/>
    <x v="5"/>
    <x v="4"/>
    <x v="1"/>
    <x v="2"/>
    <n v="3.1052993999096996"/>
    <x v="2"/>
  </r>
  <r>
    <s v="User_1005"/>
    <x v="1"/>
    <n v="85"/>
    <x v="2"/>
    <n v="76.173300810000001"/>
    <n v="1.5060998969999999"/>
    <n v="28.58745278"/>
    <x v="2"/>
    <n v="56.067684630000002"/>
    <n v="93.038495240000003"/>
    <x v="6"/>
    <x v="5"/>
    <x v="0"/>
    <x v="1"/>
    <n v="23.93760376117309"/>
    <x v="0"/>
  </r>
  <r>
    <s v="User_1008"/>
    <x v="3"/>
    <n v="50"/>
    <x v="2"/>
    <n v="34.955124410000003"/>
    <n v="1.6847005049999999"/>
    <n v="12.02937483"/>
    <x v="1"/>
    <n v="65.08674311"/>
    <n v="78.379290740000002"/>
    <x v="7"/>
    <x v="6"/>
    <x v="1"/>
    <x v="1"/>
    <n v="2.3232132806625039"/>
    <x v="3"/>
  </r>
  <r>
    <s v="User_1010"/>
    <x v="4"/>
    <n v="50"/>
    <x v="2"/>
    <n v="69.874547980000003"/>
    <n v="2.014628042"/>
    <n v="16.510459619999999"/>
    <x v="1"/>
    <n v="40.281843479999999"/>
    <n v="72.009038720000007"/>
    <x v="8"/>
    <x v="7"/>
    <x v="2"/>
    <x v="1"/>
    <n v="11.084617130341041"/>
    <x v="1"/>
  </r>
  <r>
    <s v="User_1011"/>
    <x v="3"/>
    <n v="100"/>
    <x v="2"/>
    <n v="10.431673460000001"/>
    <n v="3.3131624319999999"/>
    <n v="31.392076599999999"/>
    <x v="1"/>
    <n v="47.663262240000002"/>
    <n v="72.191575259999993"/>
    <x v="9"/>
    <x v="2"/>
    <x v="2"/>
    <x v="0"/>
    <n v="2.5587135194930637"/>
    <x v="3"/>
  </r>
  <r>
    <s v="User_1012"/>
    <x v="2"/>
    <n v="50"/>
    <x v="4"/>
    <n v="46.538021919999998"/>
    <n v="3.4273687110000002"/>
    <n v="7.1953319059999998"/>
    <x v="1"/>
    <n v="78.59233356"/>
    <n v="82.779988459999998"/>
    <x v="10"/>
    <x v="8"/>
    <x v="0"/>
    <x v="1"/>
    <n v="0.97442587764797661"/>
    <x v="3"/>
  </r>
  <r>
    <s v="User_1013"/>
    <x v="1"/>
    <n v="50"/>
    <x v="4"/>
    <n v="53.206393550000001"/>
    <n v="3.9490962490000001"/>
    <n v="47.633710499999999"/>
    <x v="3"/>
    <n v="82.904926570000001"/>
    <n v="91.603298769999995"/>
    <x v="11"/>
    <x v="0"/>
    <x v="1"/>
    <x v="2"/>
    <n v="2.3140450725878954"/>
    <x v="3"/>
  </r>
  <r>
    <s v="User_1015"/>
    <x v="2"/>
    <n v="50"/>
    <x v="3"/>
    <n v="26.967931"/>
    <n v="2.7352531600000001"/>
    <n v="15.82216479"/>
    <x v="0"/>
    <n v="71.879746049999994"/>
    <n v="94.005508250000005"/>
    <x v="12"/>
    <x v="9"/>
    <x v="1"/>
    <x v="2"/>
    <n v="2.9834301416600426"/>
    <x v="3"/>
  </r>
  <r>
    <s v="User_1017"/>
    <x v="1"/>
    <n v="100"/>
    <x v="0"/>
    <n v="71.708506880000002"/>
    <n v="5.4440915959999998"/>
    <n v="38.796076550000002"/>
    <x v="2"/>
    <n v="12.223423199999999"/>
    <n v="77.413347340000001"/>
    <x v="13"/>
    <x v="2"/>
    <x v="1"/>
    <x v="1"/>
    <n v="46.746721236998681"/>
    <x v="0"/>
  </r>
  <r>
    <s v="User_1018"/>
    <x v="1"/>
    <n v="50"/>
    <x v="1"/>
    <n v="79.24854612"/>
    <n v="1.773718519"/>
    <n v="33.005131380000002"/>
    <x v="1"/>
    <n v="51.377889209999999"/>
    <n v="73.609002239999995"/>
    <x v="14"/>
    <x v="10"/>
    <x v="1"/>
    <x v="1"/>
    <n v="8.808916931284438"/>
    <x v="2"/>
  </r>
  <r>
    <s v="User_1019"/>
    <x v="4"/>
    <n v="157.57577889999999"/>
    <x v="4"/>
    <n v="34.149200120000003"/>
    <n v="3.9755653770000001"/>
    <n v="48.766303690000001"/>
    <x v="0"/>
    <n v="33.908972679999998"/>
    <n v="92.754701839999996"/>
    <x v="15"/>
    <x v="4"/>
    <x v="0"/>
    <x v="0"/>
    <n v="31.665397687359736"/>
    <x v="0"/>
  </r>
  <r>
    <s v="User_102"/>
    <x v="3"/>
    <n v="100"/>
    <x v="3"/>
    <n v="74.153660160000001"/>
    <n v="4.1230643960000002"/>
    <n v="31.277429489999999"/>
    <x v="1"/>
    <n v="12.956988020000001"/>
    <n v="52.989967100000001"/>
    <x v="16"/>
    <x v="5"/>
    <x v="0"/>
    <x v="2"/>
    <n v="29.685919258907099"/>
    <x v="0"/>
  </r>
  <r>
    <s v="User_1020"/>
    <x v="0"/>
    <n v="86.092479909999994"/>
    <x v="2"/>
    <n v="66.706251109999997"/>
    <n v="2.8343115679999999"/>
    <n v="25.290644950000001"/>
    <x v="2"/>
    <n v="44.013429840000001"/>
    <n v="99.689689830000006"/>
    <x v="17"/>
    <x v="9"/>
    <x v="1"/>
    <x v="1"/>
    <n v="31.97435600445186"/>
    <x v="0"/>
  </r>
  <r>
    <s v="User_1021"/>
    <x v="3"/>
    <n v="62"/>
    <x v="3"/>
    <n v="30.773548130000002"/>
    <n v="3.097914083"/>
    <n v="49.751796900000002"/>
    <x v="2"/>
    <n v="2.4811528329999999"/>
    <n v="83.484869360000005"/>
    <x v="18"/>
    <x v="11"/>
    <x v="2"/>
    <x v="2"/>
    <n v="15.45518496936557"/>
    <x v="1"/>
  </r>
  <r>
    <s v="User_1022"/>
    <x v="3"/>
    <n v="50"/>
    <x v="1"/>
    <n v="24.155781560000001"/>
    <n v="2.30271121"/>
    <n v="4.7841466629999996"/>
    <x v="0"/>
    <n v="47.690745479999997"/>
    <n v="75.971160889999993"/>
    <x v="19"/>
    <x v="5"/>
    <x v="0"/>
    <x v="0"/>
    <n v="3.4156776853500896"/>
    <x v="2"/>
  </r>
  <r>
    <s v="User_1023"/>
    <x v="2"/>
    <n v="62"/>
    <x v="4"/>
    <n v="10.347606689999999"/>
    <n v="3.3184757490000001"/>
    <n v="9.3916357940000008"/>
    <x v="1"/>
    <n v="42.655342539999999"/>
    <n v="79.511090440000004"/>
    <x v="20"/>
    <x v="2"/>
    <x v="2"/>
    <x v="0"/>
    <n v="2.3644864579169593"/>
    <x v="3"/>
  </r>
  <r>
    <s v="User_1024"/>
    <x v="1"/>
    <n v="62"/>
    <x v="3"/>
    <n v="26.304534660000002"/>
    <n v="3.584508026"/>
    <n v="49.88918288"/>
    <x v="2"/>
    <n v="52.298890780000001"/>
    <n v="71.436421030000005"/>
    <x v="21"/>
    <x v="8"/>
    <x v="0"/>
    <x v="0"/>
    <n v="3.1211037321611261"/>
    <x v="2"/>
  </r>
  <r>
    <s v="User_1028"/>
    <x v="4"/>
    <n v="85"/>
    <x v="0"/>
    <n v="44.015951659999999"/>
    <n v="1.324310297"/>
    <n v="38.105277909999998"/>
    <x v="2"/>
    <n v="73.346217670000001"/>
    <n v="78.159929829999996"/>
    <x v="22"/>
    <x v="4"/>
    <x v="2"/>
    <x v="1"/>
    <n v="1.8009810347875685"/>
    <x v="3"/>
  </r>
  <r>
    <s v="User_1029"/>
    <x v="0"/>
    <n v="85"/>
    <x v="3"/>
    <n v="18.43394631"/>
    <n v="1.615459296"/>
    <n v="22.324697109999999"/>
    <x v="2"/>
    <n v="53.517570859999999"/>
    <n v="95.646611859999993"/>
    <x v="23"/>
    <x v="0"/>
    <x v="2"/>
    <x v="0"/>
    <n v="6.6011380790292034"/>
    <x v="2"/>
  </r>
  <r>
    <s v="User_1030"/>
    <x v="3"/>
    <n v="62"/>
    <x v="1"/>
    <n v="37.703118719999999"/>
    <n v="2.7346727080000002"/>
    <n v="34.722463089999998"/>
    <x v="0"/>
    <n v="46.562188399999997"/>
    <n v="52.457227199999998"/>
    <x v="24"/>
    <x v="4"/>
    <x v="1"/>
    <x v="1"/>
    <n v="1.3780203559595197"/>
    <x v="3"/>
  </r>
  <r>
    <s v="User_1031"/>
    <x v="1"/>
    <n v="100"/>
    <x v="4"/>
    <n v="56.19836617"/>
    <n v="0.18247956700000001"/>
    <n v="40.72369853"/>
    <x v="1"/>
    <n v="56.029456170000003"/>
    <n v="65.414170619999993"/>
    <x v="25"/>
    <x v="11"/>
    <x v="2"/>
    <x v="1"/>
    <n v="5.2740561906198957"/>
    <x v="2"/>
  </r>
  <r>
    <s v="User_1033"/>
    <x v="3"/>
    <n v="100"/>
    <x v="2"/>
    <n v="76.892400100000003"/>
    <n v="7.6351447590000001"/>
    <n v="10.44614576"/>
    <x v="3"/>
    <n v="7.1742712549999998"/>
    <n v="101.84442199999999"/>
    <x v="26"/>
    <x v="0"/>
    <x v="1"/>
    <x v="1"/>
    <n v="72.794151086118532"/>
    <x v="0"/>
  </r>
  <r>
    <s v="User_1036"/>
    <x v="3"/>
    <n v="60.659690980000001"/>
    <x v="0"/>
    <n v="66.091534030000005"/>
    <n v="1.272887206"/>
    <n v="37.600563059999999"/>
    <x v="0"/>
    <n v="42.301367239999998"/>
    <n v="70.726317129999998"/>
    <x v="27"/>
    <x v="12"/>
    <x v="2"/>
    <x v="1"/>
    <n v="11.395824007573701"/>
    <x v="1"/>
  </r>
  <r>
    <s v="User_1037"/>
    <x v="4"/>
    <n v="62"/>
    <x v="2"/>
    <n v="6.9184237399999997"/>
    <n v="5.5054958420000002"/>
    <n v="49.061090559999997"/>
    <x v="2"/>
    <n v="24.665843379999998"/>
    <n v="70.791756120000002"/>
    <x v="28"/>
    <x v="11"/>
    <x v="0"/>
    <x v="1"/>
    <n v="1.9785353803234236"/>
    <x v="3"/>
  </r>
  <r>
    <s v="User_1039"/>
    <x v="4"/>
    <n v="85"/>
    <x v="1"/>
    <n v="61.038062789999998"/>
    <n v="1.9937683960000001"/>
    <n v="41.54944192"/>
    <x v="2"/>
    <n v="33.065641630000002"/>
    <n v="56.795901350000001"/>
    <x v="29"/>
    <x v="4"/>
    <x v="0"/>
    <x v="1"/>
    <n v="12.311817203905125"/>
    <x v="1"/>
  </r>
  <r>
    <s v="User_1040"/>
    <x v="4"/>
    <n v="85"/>
    <x v="2"/>
    <n v="64.229619639999996"/>
    <n v="2.1295842669999998"/>
    <n v="18.162629030000002"/>
    <x v="3"/>
    <n v="83.322982449999998"/>
    <n v="83.795536589999998"/>
    <x v="30"/>
    <x v="0"/>
    <x v="2"/>
    <x v="2"/>
    <n v="0.25799176770781196"/>
    <x v="3"/>
  </r>
  <r>
    <s v="User_1042"/>
    <x v="4"/>
    <n v="100"/>
    <x v="0"/>
    <n v="58.940858570000003"/>
    <n v="3.2053484929999998"/>
    <n v="43.702212099999997"/>
    <x v="3"/>
    <n v="82.360331299999999"/>
    <n v="92.035772940000001"/>
    <x v="31"/>
    <x v="9"/>
    <x v="2"/>
    <x v="2"/>
    <n v="5.7027883730552897"/>
    <x v="2"/>
  </r>
  <r>
    <s v="User_1046"/>
    <x v="2"/>
    <n v="75"/>
    <x v="0"/>
    <n v="69.596474959999995"/>
    <n v="2.3390419960000002"/>
    <n v="14.860688980000001"/>
    <x v="2"/>
    <n v="60.638917620000001"/>
    <n v="73.009252959999998"/>
    <x v="32"/>
    <x v="9"/>
    <x v="0"/>
    <x v="2"/>
    <n v="6.4569880030283455"/>
    <x v="2"/>
  </r>
  <r>
    <s v="User_1048"/>
    <x v="2"/>
    <n v="75"/>
    <x v="3"/>
    <n v="14.49216024"/>
    <n v="3.8892592349999999"/>
    <n v="41.377910759999999"/>
    <x v="1"/>
    <n v="42.78718946"/>
    <n v="51.761745470000001"/>
    <x v="33"/>
    <x v="8"/>
    <x v="1"/>
    <x v="1"/>
    <n v="0.97545527834831292"/>
    <x v="3"/>
  </r>
  <r>
    <s v="User_1050"/>
    <x v="3"/>
    <n v="100"/>
    <x v="0"/>
    <n v="8.2345841160000006"/>
    <n v="0.90499337999999996"/>
    <n v="43.812872560000002"/>
    <x v="1"/>
    <n v="23.358908240000002"/>
    <n v="97.661584820000002"/>
    <x v="34"/>
    <x v="8"/>
    <x v="2"/>
    <x v="0"/>
    <n v="6.118516403419533"/>
    <x v="2"/>
  </r>
  <r>
    <s v="User_1051"/>
    <x v="0"/>
    <n v="75"/>
    <x v="2"/>
    <n v="34.86162084"/>
    <n v="3.4701972959999998"/>
    <n v="4.9406143269999996"/>
    <x v="0"/>
    <n v="47.9790092"/>
    <n v="69.996543149999994"/>
    <x v="35"/>
    <x v="8"/>
    <x v="0"/>
    <x v="0"/>
    <n v="5.7567519029754548"/>
    <x v="2"/>
  </r>
  <r>
    <s v="User_1054"/>
    <x v="3"/>
    <n v="50"/>
    <x v="4"/>
    <n v="9.9807815279999996"/>
    <n v="1.8536958219999999"/>
    <n v="33.333004330000001"/>
    <x v="3"/>
    <n v="35.851595549999999"/>
    <n v="67.584110989999999"/>
    <x v="36"/>
    <x v="4"/>
    <x v="1"/>
    <x v="1"/>
    <n v="1.5835765197026337"/>
    <x v="3"/>
  </r>
  <r>
    <s v="User_1056"/>
    <x v="2"/>
    <n v="75"/>
    <x v="2"/>
    <n v="42.094233350000003"/>
    <n v="1.0017255389999999"/>
    <n v="6.3100264880000001"/>
    <x v="1"/>
    <n v="51.67969008"/>
    <n v="95.811129600000001"/>
    <x v="37"/>
    <x v="5"/>
    <x v="0"/>
    <x v="0"/>
    <n v="13.932593349197189"/>
    <x v="1"/>
  </r>
  <r>
    <s v="User_1058"/>
    <x v="0"/>
    <n v="75"/>
    <x v="3"/>
    <n v="53.713287010000002"/>
    <n v="0.89146080299999997"/>
    <n v="18.622976470000001"/>
    <x v="2"/>
    <n v="49.923144290000003"/>
    <n v="56.181482629999998"/>
    <x v="38"/>
    <x v="7"/>
    <x v="2"/>
    <x v="0"/>
    <n v="2.5211694259658"/>
    <x v="3"/>
  </r>
  <r>
    <s v="User_1059"/>
    <x v="4"/>
    <n v="55.81669376"/>
    <x v="3"/>
    <n v="66.405507569999997"/>
    <n v="3.02669269"/>
    <n v="39.85618959"/>
    <x v="0"/>
    <n v="15.55736235"/>
    <n v="78.849996279999999"/>
    <x v="39"/>
    <x v="5"/>
    <x v="2"/>
    <x v="1"/>
    <n v="23.459641860201319"/>
    <x v="0"/>
  </r>
  <r>
    <s v="User_106"/>
    <x v="1"/>
    <n v="62"/>
    <x v="3"/>
    <n v="41.264155049999999"/>
    <n v="3.6044547429999998"/>
    <n v="29.081690930000001"/>
    <x v="3"/>
    <n v="64.419366760000003"/>
    <n v="73.237189209999997"/>
    <x v="40"/>
    <x v="9"/>
    <x v="0"/>
    <x v="2"/>
    <n v="2.2559319552370578"/>
    <x v="3"/>
  </r>
  <r>
    <s v="User_1061"/>
    <x v="3"/>
    <n v="100"/>
    <x v="4"/>
    <n v="75.570964500000002"/>
    <n v="2.5744522320000001"/>
    <n v="21.512464919999999"/>
    <x v="2"/>
    <n v="32.747608159999999"/>
    <n v="57.682290250000001"/>
    <x v="41"/>
    <x v="7"/>
    <x v="2"/>
    <x v="0"/>
    <n v="18.843379750421761"/>
    <x v="1"/>
  </r>
  <r>
    <s v="User_1063"/>
    <x v="0"/>
    <n v="62"/>
    <x v="2"/>
    <n v="28.253031400000001"/>
    <n v="0.90863538499999996"/>
    <n v="30.00242931"/>
    <x v="0"/>
    <n v="77.2337354"/>
    <n v="82.609539260000005"/>
    <x v="42"/>
    <x v="13"/>
    <x v="2"/>
    <x v="0"/>
    <n v="0.94167308259229243"/>
    <x v="3"/>
  </r>
  <r>
    <s v="User_1064"/>
    <x v="3"/>
    <n v="100"/>
    <x v="2"/>
    <n v="39.488831070000003"/>
    <n v="0.85845851200000001"/>
    <n v="16.371516069999998"/>
    <x v="1"/>
    <n v="26.68552227"/>
    <n v="90.024677330000003"/>
    <x v="43"/>
    <x v="2"/>
    <x v="2"/>
    <x v="0"/>
    <n v="25.011891942808759"/>
    <x v="0"/>
  </r>
  <r>
    <s v="User_1066"/>
    <x v="0"/>
    <n v="62"/>
    <x v="3"/>
    <n v="69.210961269999999"/>
    <n v="2.286994124"/>
    <n v="28.756620250000001"/>
    <x v="3"/>
    <n v="27.766055999999999"/>
    <n v="55.463224279999999"/>
    <x v="44"/>
    <x v="4"/>
    <x v="1"/>
    <x v="1"/>
    <n v="11.885075374917667"/>
    <x v="1"/>
  </r>
  <r>
    <s v="User_1067"/>
    <x v="0"/>
    <n v="45.815987200000002"/>
    <x v="1"/>
    <n v="34.602204589999999"/>
    <n v="2.5188389029999998"/>
    <n v="5.5797504550000001"/>
    <x v="0"/>
    <n v="21.24479174"/>
    <n v="73.436280229999994"/>
    <x v="45"/>
    <x v="9"/>
    <x v="1"/>
    <x v="2"/>
    <n v="8.2740949699474733"/>
    <x v="2"/>
  </r>
  <r>
    <s v="User_1069"/>
    <x v="3"/>
    <n v="62"/>
    <x v="4"/>
    <n v="21.871253289999999"/>
    <n v="0.57200012600000005"/>
    <n v="10.602056340000001"/>
    <x v="0"/>
    <n v="44.919466159999999"/>
    <n v="53.746604290000001"/>
    <x v="46"/>
    <x v="11"/>
    <x v="1"/>
    <x v="0"/>
    <n v="1.1969755579756913"/>
    <x v="3"/>
  </r>
  <r>
    <s v="User_1070"/>
    <x v="3"/>
    <n v="75"/>
    <x v="2"/>
    <n v="47.232070839999999"/>
    <n v="3.6437739339999999"/>
    <n v="42.960307190000002"/>
    <x v="2"/>
    <n v="12.43408226"/>
    <n v="68.060830940000002"/>
    <x v="47"/>
    <x v="0"/>
    <x v="1"/>
    <x v="1"/>
    <n v="19.705249006894775"/>
    <x v="1"/>
  </r>
  <r>
    <s v="User_1076"/>
    <x v="3"/>
    <n v="100"/>
    <x v="1"/>
    <n v="54.964472020000002"/>
    <n v="3.5229376069999998"/>
    <n v="41.407045570000001"/>
    <x v="1"/>
    <n v="19.82642791"/>
    <n v="92.776520250000004"/>
    <x v="48"/>
    <x v="8"/>
    <x v="2"/>
    <x v="2"/>
    <n v="40.096633092783463"/>
    <x v="0"/>
  </r>
  <r>
    <s v="User_1077"/>
    <x v="1"/>
    <n v="50"/>
    <x v="3"/>
    <n v="74.785819399999994"/>
    <n v="1.6785135179999999"/>
    <n v="36.55346728"/>
    <x v="2"/>
    <n v="37.367123300000003"/>
    <n v="98.555456149999998"/>
    <x v="49"/>
    <x v="2"/>
    <x v="0"/>
    <x v="0"/>
    <n v="22.880098049535931"/>
    <x v="0"/>
  </r>
  <r>
    <s v="User_1078"/>
    <x v="1"/>
    <n v="75"/>
    <x v="1"/>
    <n v="34.79054782"/>
    <n v="1.813883272"/>
    <n v="23.215257789999999"/>
    <x v="3"/>
    <n v="42.670374449999997"/>
    <n v="75.696092649999997"/>
    <x v="50"/>
    <x v="4"/>
    <x v="2"/>
    <x v="0"/>
    <n v="8.6173712124520829"/>
    <x v="2"/>
  </r>
  <r>
    <s v="User_1079"/>
    <x v="2"/>
    <n v="75"/>
    <x v="1"/>
    <n v="69.133090249999995"/>
    <n v="3.0076728840000002"/>
    <n v="10.70555783"/>
    <x v="1"/>
    <n v="28.903016640000001"/>
    <n v="78.348622199999994"/>
    <x v="51"/>
    <x v="0"/>
    <x v="2"/>
    <x v="1"/>
    <n v="25.637456337340353"/>
    <x v="0"/>
  </r>
  <r>
    <s v="User_108"/>
    <x v="0"/>
    <n v="147.39535430000001"/>
    <x v="3"/>
    <n v="65.893183620000002"/>
    <n v="3.146250636"/>
    <n v="24.83213224"/>
    <x v="0"/>
    <n v="27.381195980000001"/>
    <n v="64.701493529999993"/>
    <x v="52"/>
    <x v="9"/>
    <x v="1"/>
    <x v="2"/>
    <n v="36.246776002420788"/>
    <x v="0"/>
  </r>
  <r>
    <s v="User_1081"/>
    <x v="3"/>
    <n v="50"/>
    <x v="3"/>
    <n v="27.752745919999999"/>
    <n v="0.903865802"/>
    <n v="31.65589628"/>
    <x v="2"/>
    <n v="24.84363201"/>
    <n v="87.937331080000007"/>
    <x v="53"/>
    <x v="11"/>
    <x v="2"/>
    <x v="1"/>
    <n v="8.7551169972132517"/>
    <x v="2"/>
  </r>
  <r>
    <s v="User_1086"/>
    <x v="3"/>
    <n v="50"/>
    <x v="1"/>
    <n v="36.465473340000003"/>
    <n v="1.2091658670000001"/>
    <n v="37.860284989999997"/>
    <x v="1"/>
    <n v="21.023469970000001"/>
    <n v="82.179413819999994"/>
    <x v="54"/>
    <x v="11"/>
    <x v="1"/>
    <x v="0"/>
    <n v="11.15040220022356"/>
    <x v="1"/>
  </r>
  <r>
    <s v="User_1088"/>
    <x v="2"/>
    <n v="50"/>
    <x v="4"/>
    <n v="40.271635750000002"/>
    <n v="2.692912126"/>
    <n v="49.566380580000001"/>
    <x v="2"/>
    <n v="21.826703569999999"/>
    <n v="67.998202309999996"/>
    <x v="55"/>
    <x v="0"/>
    <x v="0"/>
    <x v="1"/>
    <n v="9.2970088964443196"/>
    <x v="2"/>
  </r>
  <r>
    <s v="User_109"/>
    <x v="2"/>
    <n v="50"/>
    <x v="3"/>
    <n v="13.26290902"/>
    <n v="3.069015227"/>
    <n v="47.670470639999998"/>
    <x v="2"/>
    <n v="24.998949639999999"/>
    <n v="90.020001059999998"/>
    <x v="56"/>
    <x v="8"/>
    <x v="0"/>
    <x v="0"/>
    <n v="4.3118414468410089"/>
    <x v="2"/>
  </r>
  <r>
    <s v="User_1094"/>
    <x v="4"/>
    <n v="62"/>
    <x v="0"/>
    <n v="36.701520160000001"/>
    <n v="1.8724897380000001"/>
    <n v="19.121932640000001"/>
    <x v="0"/>
    <n v="26.348198440000001"/>
    <n v="95.162887069999996"/>
    <x v="57"/>
    <x v="14"/>
    <x v="1"/>
    <x v="1"/>
    <n v="15.658742828760017"/>
    <x v="1"/>
  </r>
  <r>
    <s v="User_1096"/>
    <x v="4"/>
    <n v="100"/>
    <x v="2"/>
    <n v="24.230536860000001"/>
    <n v="0.93401048099999995"/>
    <n v="7.7573413179999999"/>
    <x v="2"/>
    <n v="17.695975499999999"/>
    <n v="75.499591390000006"/>
    <x v="58"/>
    <x v="4"/>
    <x v="1"/>
    <x v="0"/>
    <n v="14.006126454639269"/>
    <x v="1"/>
  </r>
  <r>
    <s v="User_1097"/>
    <x v="0"/>
    <n v="85"/>
    <x v="1"/>
    <n v="21.706124330000002"/>
    <n v="2.5051031039999998"/>
    <n v="47.97954498"/>
    <x v="0"/>
    <n v="17.075691760000002"/>
    <n v="94.511155669999994"/>
    <x v="59"/>
    <x v="4"/>
    <x v="2"/>
    <x v="1"/>
    <n v="14.287002361044348"/>
    <x v="1"/>
  </r>
  <r>
    <s v="User_1098"/>
    <x v="3"/>
    <n v="85"/>
    <x v="2"/>
    <n v="57.896271800000001"/>
    <n v="1.7338146139999999"/>
    <n v="10.411646340000001"/>
    <x v="1"/>
    <n v="53.19306375"/>
    <n v="96.339542280000003"/>
    <x v="60"/>
    <x v="4"/>
    <x v="2"/>
    <x v="0"/>
    <n v="21.233172109578828"/>
    <x v="0"/>
  </r>
  <r>
    <s v="User_11"/>
    <x v="0"/>
    <n v="50"/>
    <x v="4"/>
    <n v="18.20619748"/>
    <n v="2.6486354479999998"/>
    <n v="10.31070111"/>
    <x v="3"/>
    <n v="76.086565570000005"/>
    <n v="82.26558163"/>
    <x v="61"/>
    <x v="8"/>
    <x v="0"/>
    <x v="1"/>
    <n v="0.56248193310225725"/>
    <x v="3"/>
  </r>
  <r>
    <s v="User_1100"/>
    <x v="4"/>
    <n v="75"/>
    <x v="0"/>
    <n v="15.729551170000001"/>
    <n v="3.882674593"/>
    <n v="38.315159010000002"/>
    <x v="1"/>
    <n v="10.87427192"/>
    <n v="80.292238040000001"/>
    <x v="62"/>
    <x v="4"/>
    <x v="2"/>
    <x v="2"/>
    <n v="8.1893508765139984"/>
    <x v="2"/>
  </r>
  <r>
    <s v="User_1104"/>
    <x v="2"/>
    <n v="75"/>
    <x v="1"/>
    <n v="15.425510879999999"/>
    <n v="1.7093751260000001"/>
    <n v="18.99992559"/>
    <x v="3"/>
    <n v="27.099273239999999"/>
    <n v="55.421233710000003"/>
    <x v="63"/>
    <x v="11"/>
    <x v="0"/>
    <x v="2"/>
    <n v="3.2766053202968619"/>
    <x v="2"/>
  </r>
  <r>
    <s v="User_1107"/>
    <x v="3"/>
    <n v="75"/>
    <x v="1"/>
    <n v="67.458127340000004"/>
    <n v="0.87329274400000001"/>
    <n v="17.885559319999999"/>
    <x v="1"/>
    <n v="58.362770089999998"/>
    <n v="83.421068520000006"/>
    <x v="64"/>
    <x v="7"/>
    <x v="0"/>
    <x v="0"/>
    <n v="12.677894148109969"/>
    <x v="1"/>
  </r>
  <r>
    <s v="User_1109"/>
    <x v="2"/>
    <n v="85"/>
    <x v="1"/>
    <n v="61.231465900000003"/>
    <n v="2.3313103480000001"/>
    <n v="9.1425032979999994"/>
    <x v="2"/>
    <n v="53.240288399999997"/>
    <n v="85.776406719999997"/>
    <x v="65"/>
    <x v="2"/>
    <x v="2"/>
    <x v="1"/>
    <n v="16.933990865150285"/>
    <x v="1"/>
  </r>
  <r>
    <s v="User_1110"/>
    <x v="2"/>
    <n v="50"/>
    <x v="0"/>
    <n v="23.193290220000002"/>
    <n v="2.0077104430000001"/>
    <n v="31.983192460000001"/>
    <x v="3"/>
    <n v="72.881184709999999"/>
    <n v="86.935547869999994"/>
    <x v="66"/>
    <x v="2"/>
    <x v="1"/>
    <x v="1"/>
    <n v="1.6298346181357808"/>
    <x v="3"/>
  </r>
  <r>
    <s v="User_1111"/>
    <x v="3"/>
    <n v="85"/>
    <x v="2"/>
    <n v="48.386176980000002"/>
    <n v="3.7383644540000001"/>
    <n v="27.805230850000001"/>
    <x v="2"/>
    <n v="19.323526229999999"/>
    <n v="81.926244650000001"/>
    <x v="67"/>
    <x v="2"/>
    <x v="0"/>
    <x v="0"/>
    <n v="25.747402809643422"/>
    <x v="0"/>
  </r>
  <r>
    <s v="User_1115"/>
    <x v="2"/>
    <n v="100"/>
    <x v="0"/>
    <n v="56.115092500000003"/>
    <n v="1.0574159299999999"/>
    <n v="5.4880395049999997"/>
    <x v="1"/>
    <n v="22.349879300000001"/>
    <n v="80.088484519999994"/>
    <x v="68"/>
    <x v="2"/>
    <x v="1"/>
    <x v="0"/>
    <n v="32.400071727412829"/>
    <x v="0"/>
  </r>
  <r>
    <s v="User_1117"/>
    <x v="0"/>
    <n v="85"/>
    <x v="0"/>
    <n v="41.157013910000003"/>
    <n v="3.2634983979999999"/>
    <n v="46.129688870000003"/>
    <x v="1"/>
    <n v="31.46784538"/>
    <n v="77.452109039999996"/>
    <x v="69"/>
    <x v="4"/>
    <x v="2"/>
    <x v="1"/>
    <n v="16.086887322313686"/>
    <x v="1"/>
  </r>
  <r>
    <s v="User_1118"/>
    <x v="1"/>
    <n v="50"/>
    <x v="4"/>
    <n v="41.90586399"/>
    <n v="1.8944880909999999"/>
    <n v="24.479571450000002"/>
    <x v="0"/>
    <n v="46.400942870000002"/>
    <n v="58.933160270000002"/>
    <x v="70"/>
    <x v="4"/>
    <x v="0"/>
    <x v="2"/>
    <n v="2.625866989287557"/>
    <x v="3"/>
  </r>
  <r>
    <s v="User_1121"/>
    <x v="4"/>
    <n v="62"/>
    <x v="0"/>
    <n v="18.10247227"/>
    <n v="1.934688459"/>
    <n v="41.55273261"/>
    <x v="3"/>
    <n v="33.300883159999998"/>
    <n v="99.700934590000003"/>
    <x v="71"/>
    <x v="8"/>
    <x v="0"/>
    <x v="1"/>
    <n v="7.4524315563765242"/>
    <x v="2"/>
  </r>
  <r>
    <s v="User_1122"/>
    <x v="3"/>
    <n v="50"/>
    <x v="1"/>
    <n v="59.198540149999999"/>
    <n v="3.4047280949999998"/>
    <n v="10.553605879999999"/>
    <x v="2"/>
    <n v="32.901614780000003"/>
    <n v="90.235271409999996"/>
    <x v="72"/>
    <x v="9"/>
    <x v="1"/>
    <x v="1"/>
    <n v="16.970343869786841"/>
    <x v="1"/>
  </r>
  <r>
    <s v="User_1126"/>
    <x v="2"/>
    <n v="100"/>
    <x v="3"/>
    <n v="23.915003800000001"/>
    <n v="2.3328088170000001"/>
    <n v="33.504959550000002"/>
    <x v="3"/>
    <n v="38.270732459999998"/>
    <n v="84.480865789999996"/>
    <x v="73"/>
    <x v="0"/>
    <x v="1"/>
    <x v="0"/>
    <n v="11.051155141854567"/>
    <x v="1"/>
  </r>
  <r>
    <s v="User_1127"/>
    <x v="0"/>
    <n v="50"/>
    <x v="3"/>
    <n v="13.819971239999999"/>
    <n v="2.0907776149999999"/>
    <n v="12.27483651"/>
    <x v="1"/>
    <n v="86.608758649999999"/>
    <n v="99.093127490000001"/>
    <x v="74"/>
    <x v="2"/>
    <x v="1"/>
    <x v="0"/>
    <n v="0.86266809159176094"/>
    <x v="3"/>
  </r>
  <r>
    <s v="User_113"/>
    <x v="1"/>
    <n v="100"/>
    <x v="0"/>
    <n v="36.137269000000003"/>
    <n v="2.4493464550000001"/>
    <n v="36.377075789999999"/>
    <x v="3"/>
    <n v="48.612193470000001"/>
    <n v="95.831199359999999"/>
    <x v="75"/>
    <x v="11"/>
    <x v="0"/>
    <x v="1"/>
    <n v="17.063659177595145"/>
    <x v="1"/>
  </r>
  <r>
    <s v="User_1130"/>
    <x v="4"/>
    <n v="75"/>
    <x v="4"/>
    <n v="55.09525584"/>
    <n v="1.2894389879999999"/>
    <n v="45.210629939999997"/>
    <x v="0"/>
    <n v="54.163476549999999"/>
    <n v="56.696217560000001"/>
    <x v="76"/>
    <x v="8"/>
    <x v="1"/>
    <x v="0"/>
    <n v="1.0465651044180759"/>
    <x v="3"/>
  </r>
  <r>
    <s v="User_1131"/>
    <x v="4"/>
    <n v="102.3993713"/>
    <x v="2"/>
    <n v="38.188211099999997"/>
    <n v="3.227826774"/>
    <n v="23.196373699999999"/>
    <x v="3"/>
    <n v="40.629023740000001"/>
    <n v="62.795202140000001"/>
    <x v="77"/>
    <x v="9"/>
    <x v="2"/>
    <x v="0"/>
    <n v="8.6679705895804418"/>
    <x v="2"/>
  </r>
  <r>
    <s v="User_1132"/>
    <x v="3"/>
    <n v="60.309202450000001"/>
    <x v="1"/>
    <n v="41.131687229999997"/>
    <n v="0.63263027000000005"/>
    <n v="46.543356299999999"/>
    <x v="1"/>
    <n v="64.748368099999993"/>
    <n v="92.694568759999996"/>
    <x v="78"/>
    <x v="15"/>
    <x v="2"/>
    <x v="0"/>
    <n v="6.9323883384833085"/>
    <x v="2"/>
  </r>
  <r>
    <s v="User_1134"/>
    <x v="0"/>
    <n v="75"/>
    <x v="2"/>
    <n v="72.311216360000003"/>
    <n v="0.94538017900000004"/>
    <n v="34.261668149999998"/>
    <x v="2"/>
    <n v="59.491108009999998"/>
    <n v="92.312930609999995"/>
    <x v="79"/>
    <x v="5"/>
    <x v="1"/>
    <x v="1"/>
    <n v="17.80039436518603"/>
    <x v="1"/>
  </r>
  <r>
    <s v="User_1135"/>
    <x v="2"/>
    <n v="75"/>
    <x v="2"/>
    <n v="37.493805700000003"/>
    <n v="1.85476869"/>
    <n v="15.80000416"/>
    <x v="3"/>
    <n v="86.544451559999999"/>
    <n v="93.381778909999994"/>
    <x v="80"/>
    <x v="2"/>
    <x v="0"/>
    <x v="1"/>
    <n v="1.9226806737614681"/>
    <x v="3"/>
  </r>
  <r>
    <s v="User_1137"/>
    <x v="4"/>
    <n v="75"/>
    <x v="1"/>
    <n v="33.467398979999999"/>
    <n v="3.3861550880000002"/>
    <n v="18.942976040000001"/>
    <x v="1"/>
    <n v="44.254323050000004"/>
    <n v="91.060192549999996"/>
    <x v="81"/>
    <x v="9"/>
    <x v="1"/>
    <x v="0"/>
    <n v="11.748530318717346"/>
    <x v="1"/>
  </r>
  <r>
    <s v="User_114"/>
    <x v="2"/>
    <n v="85"/>
    <x v="4"/>
    <n v="29.169529539999999"/>
    <n v="1.8374020259999999"/>
    <n v="28.504564540000001"/>
    <x v="0"/>
    <n v="64.068379010000001"/>
    <n v="83.788542609999993"/>
    <x v="82"/>
    <x v="4"/>
    <x v="0"/>
    <x v="2"/>
    <n v="4.8894371046425764"/>
    <x v="2"/>
  </r>
  <r>
    <s v="User_1141"/>
    <x v="1"/>
    <n v="85"/>
    <x v="0"/>
    <n v="45.453448850000001"/>
    <n v="1.4410908929999999"/>
    <n v="28.194042060000001"/>
    <x v="3"/>
    <n v="18.306166879999999"/>
    <n v="66.428476419999996"/>
    <x v="83"/>
    <x v="2"/>
    <x v="0"/>
    <x v="0"/>
    <n v="18.592261949372183"/>
    <x v="1"/>
  </r>
  <r>
    <s v="User_1142"/>
    <x v="1"/>
    <n v="100"/>
    <x v="2"/>
    <n v="31.728682289999998"/>
    <n v="2.294614996"/>
    <n v="37.50320207"/>
    <x v="1"/>
    <n v="76.840812369999995"/>
    <n v="87.558779689999994"/>
    <x v="84"/>
    <x v="5"/>
    <x v="2"/>
    <x v="0"/>
    <n v="3.4006697989088277"/>
    <x v="2"/>
  </r>
  <r>
    <s v="User_1143"/>
    <x v="3"/>
    <n v="62"/>
    <x v="3"/>
    <n v="76.164788439999995"/>
    <n v="2.4754102389999999"/>
    <n v="32.557458230000002"/>
    <x v="0"/>
    <n v="24.928497409999999"/>
    <n v="79.557614650000005"/>
    <x v="85"/>
    <x v="7"/>
    <x v="2"/>
    <x v="2"/>
    <n v="25.797053974941051"/>
    <x v="0"/>
  </r>
  <r>
    <s v="User_1144"/>
    <x v="4"/>
    <n v="75"/>
    <x v="0"/>
    <n v="59.168643359999997"/>
    <n v="2.7656216570000001"/>
    <n v="15.222513530000001"/>
    <x v="2"/>
    <n v="50.510105969999998"/>
    <n v="68.597764369999993"/>
    <x v="86"/>
    <x v="11"/>
    <x v="0"/>
    <x v="2"/>
    <n v="8.0266665681533098"/>
    <x v="2"/>
  </r>
  <r>
    <s v="User_1145"/>
    <x v="1"/>
    <n v="179.01305780000001"/>
    <x v="4"/>
    <n v="15.104033380000001"/>
    <n v="2.891562784"/>
    <n v="5.0524574920000003"/>
    <x v="3"/>
    <n v="51.4831863"/>
    <n v="72.703488050000004"/>
    <x v="87"/>
    <x v="9"/>
    <x v="1"/>
    <x v="0"/>
    <n v="5.7375859311354978"/>
    <x v="2"/>
  </r>
  <r>
    <s v="User_1146"/>
    <x v="0"/>
    <n v="62"/>
    <x v="1"/>
    <n v="66.246537810000007"/>
    <n v="1.2541996769999999"/>
    <n v="37.462344190000003"/>
    <x v="0"/>
    <n v="43.851481710000002"/>
    <n v="61.648496020000003"/>
    <x v="88"/>
    <x v="8"/>
    <x v="1"/>
    <x v="1"/>
    <n v="7.309741604633663"/>
    <x v="2"/>
  </r>
  <r>
    <s v="User_1152"/>
    <x v="4"/>
    <n v="65.974046049999998"/>
    <x v="1"/>
    <n v="64.930506460000004"/>
    <n v="3.7325777069999999"/>
    <n v="45.60140062"/>
    <x v="3"/>
    <n v="58.162527689999997"/>
    <n v="72.858894309999997"/>
    <x v="89"/>
    <x v="0"/>
    <x v="2"/>
    <x v="2"/>
    <n v="6.2955240469203613"/>
    <x v="2"/>
  </r>
  <r>
    <s v="User_1154"/>
    <x v="3"/>
    <n v="62"/>
    <x v="1"/>
    <n v="55.628496669999997"/>
    <n v="1.376170973"/>
    <n v="8.1799643359999994"/>
    <x v="2"/>
    <n v="50.627588260000003"/>
    <n v="53.248697120000003"/>
    <x v="90"/>
    <x v="9"/>
    <x v="1"/>
    <x v="1"/>
    <n v="0.90401174203934842"/>
    <x v="3"/>
  </r>
  <r>
    <s v="User_1155"/>
    <x v="4"/>
    <n v="85"/>
    <x v="1"/>
    <n v="41.993262199999997"/>
    <n v="1.1976918700000001"/>
    <n v="6.4833405800000001"/>
    <x v="2"/>
    <n v="46.354789330000003"/>
    <n v="91.106881279999996"/>
    <x v="91"/>
    <x v="7"/>
    <x v="1"/>
    <x v="2"/>
    <n v="15.973933815666301"/>
    <x v="1"/>
  </r>
  <r>
    <s v="User_1156"/>
    <x v="2"/>
    <n v="24.739974709999998"/>
    <x v="1"/>
    <n v="38.69718657"/>
    <n v="0.55001769499999997"/>
    <n v="30.846818880000001"/>
    <x v="0"/>
    <n v="27.790526409999998"/>
    <n v="54.736929969999998"/>
    <x v="92"/>
    <x v="4"/>
    <x v="1"/>
    <x v="2"/>
    <n v="2.5797608776100676"/>
    <x v="3"/>
  </r>
  <r>
    <s v="User_1157"/>
    <x v="3"/>
    <n v="84.631703189999996"/>
    <x v="2"/>
    <n v="62.26265635"/>
    <n v="1.7046015910000001"/>
    <n v="23.577850720000001"/>
    <x v="1"/>
    <n v="34.70206211"/>
    <n v="51.284013190000003"/>
    <x v="93"/>
    <x v="0"/>
    <x v="2"/>
    <x v="1"/>
    <n v="8.7376844341244233"/>
    <x v="2"/>
  </r>
  <r>
    <s v="User_1158"/>
    <x v="3"/>
    <n v="62"/>
    <x v="2"/>
    <n v="35.844139089999999"/>
    <n v="3.7949895819999999"/>
    <n v="34.740983700000001"/>
    <x v="0"/>
    <n v="55.960807959999997"/>
    <n v="87.105568000000005"/>
    <x v="94"/>
    <x v="9"/>
    <x v="0"/>
    <x v="1"/>
    <n v="6.9214140869502918"/>
    <x v="2"/>
  </r>
  <r>
    <s v="User_1159"/>
    <x v="4"/>
    <n v="100"/>
    <x v="4"/>
    <n v="55.46883682"/>
    <n v="3.5403790119999998"/>
    <n v="26.484266980000001"/>
    <x v="1"/>
    <n v="38.4751768"/>
    <n v="82.298362749999995"/>
    <x v="95"/>
    <x v="5"/>
    <x v="1"/>
    <x v="2"/>
    <n v="24.308211503930664"/>
    <x v="0"/>
  </r>
  <r>
    <s v="User_116"/>
    <x v="1"/>
    <n v="100"/>
    <x v="2"/>
    <n v="26.869109609999999"/>
    <n v="2.4636849380000001"/>
    <n v="12.05183663"/>
    <x v="1"/>
    <n v="28.179847290000001"/>
    <n v="54.562401340000001"/>
    <x v="96"/>
    <x v="8"/>
    <x v="1"/>
    <x v="2"/>
    <n v="7.0887573656119933"/>
    <x v="2"/>
  </r>
  <r>
    <s v="User_1160"/>
    <x v="1"/>
    <n v="62"/>
    <x v="1"/>
    <n v="19.721540009999998"/>
    <n v="1.483281034"/>
    <n v="47.609115989999999"/>
    <x v="2"/>
    <n v="58.690095939999999"/>
    <n v="84.55286821"/>
    <x v="97"/>
    <x v="16"/>
    <x v="1"/>
    <x v="0"/>
    <n v="3.1623329281724057"/>
    <x v="2"/>
  </r>
  <r>
    <s v="User_1161"/>
    <x v="3"/>
    <n v="28.592175520000001"/>
    <x v="2"/>
    <n v="68.450256749999994"/>
    <n v="2.1861491819999999"/>
    <n v="14.97180144"/>
    <x v="2"/>
    <n v="26.459694559999999"/>
    <n v="98.790221009999996"/>
    <x v="98"/>
    <x v="17"/>
    <x v="1"/>
    <x v="0"/>
    <n v="14.156109350427885"/>
    <x v="1"/>
  </r>
  <r>
    <s v="User_1162"/>
    <x v="3"/>
    <n v="62"/>
    <x v="4"/>
    <n v="79.949744109999997"/>
    <n v="1.659160703"/>
    <n v="10.887323540000001"/>
    <x v="1"/>
    <n v="52.135175029999999"/>
    <n v="93.017153059999998"/>
    <x v="99"/>
    <x v="9"/>
    <x v="0"/>
    <x v="2"/>
    <n v="20.26472282969668"/>
    <x v="0"/>
  </r>
  <r>
    <s v="User_1164"/>
    <x v="0"/>
    <n v="75"/>
    <x v="1"/>
    <n v="35.382659529999998"/>
    <n v="1.717828015"/>
    <n v="23.771635499999999"/>
    <x v="0"/>
    <n v="54.481462120000003"/>
    <n v="70.459848410000006"/>
    <x v="100"/>
    <x v="4"/>
    <x v="1"/>
    <x v="2"/>
    <n v="4.2401835145341735"/>
    <x v="2"/>
  </r>
  <r>
    <s v="User_1165"/>
    <x v="4"/>
    <n v="62"/>
    <x v="3"/>
    <n v="37.688027669999997"/>
    <n v="0.60241738199999995"/>
    <n v="45.364514560000003"/>
    <x v="1"/>
    <n v="17.969742480000001"/>
    <n v="67.456687149999993"/>
    <x v="101"/>
    <x v="11"/>
    <x v="2"/>
    <x v="1"/>
    <n v="11.563405108165657"/>
    <x v="1"/>
  </r>
  <r>
    <s v="User_1166"/>
    <x v="4"/>
    <n v="110.6581279"/>
    <x v="1"/>
    <n v="20.793439289999998"/>
    <n v="1.4706697209999999"/>
    <n v="30.185692830000001"/>
    <x v="2"/>
    <n v="33.550428709999998"/>
    <n v="93.646364919999996"/>
    <x v="102"/>
    <x v="9"/>
    <x v="2"/>
    <x v="0"/>
    <n v="13.827852954177406"/>
    <x v="1"/>
  </r>
  <r>
    <s v="User_1167"/>
    <x v="1"/>
    <n v="100"/>
    <x v="3"/>
    <n v="53.362894699999998"/>
    <n v="3.7998192080000002"/>
    <n v="38.625545590000002"/>
    <x v="3"/>
    <n v="33.266651609999997"/>
    <n v="92.036454120000002"/>
    <x v="103"/>
    <x v="7"/>
    <x v="2"/>
    <x v="0"/>
    <n v="31.361267828809261"/>
    <x v="0"/>
  </r>
  <r>
    <s v="User_1168"/>
    <x v="1"/>
    <n v="100"/>
    <x v="4"/>
    <n v="24.267335450000001"/>
    <n v="1.6404240379999999"/>
    <n v="30.48577367"/>
    <x v="2"/>
    <n v="74.684223700000004"/>
    <n v="79.530174479999999"/>
    <x v="104"/>
    <x v="9"/>
    <x v="0"/>
    <x v="2"/>
    <n v="1.1759831315244904"/>
    <x v="3"/>
  </r>
  <r>
    <s v="User_117"/>
    <x v="4"/>
    <n v="85"/>
    <x v="4"/>
    <n v="17.933479169999998"/>
    <n v="2.7822095660000001"/>
    <n v="25.584168420000001"/>
    <x v="1"/>
    <n v="29.951321950000001"/>
    <n v="76.875886850000001"/>
    <x v="105"/>
    <x v="2"/>
    <x v="0"/>
    <x v="0"/>
    <n v="7.1529260111614352"/>
    <x v="2"/>
  </r>
  <r>
    <s v="User_1170"/>
    <x v="1"/>
    <n v="100"/>
    <x v="0"/>
    <n v="27.706067789999999"/>
    <n v="2.85834951"/>
    <n v="45.326744589999997"/>
    <x v="2"/>
    <n v="46.483029190000003"/>
    <n v="98.627344019999995"/>
    <x v="106"/>
    <x v="7"/>
    <x v="1"/>
    <x v="0"/>
    <n v="14.44713921543082"/>
    <x v="1"/>
  </r>
  <r>
    <s v="User_1171"/>
    <x v="2"/>
    <n v="50"/>
    <x v="4"/>
    <n v="76.687312230000003"/>
    <n v="0.72988292499999996"/>
    <n v="45.758313860000001"/>
    <x v="3"/>
    <n v="33.294245179999997"/>
    <n v="52.039262530000002"/>
    <x v="107"/>
    <x v="11"/>
    <x v="1"/>
    <x v="0"/>
    <n v="7.1875249913810872"/>
    <x v="2"/>
  </r>
  <r>
    <s v="User_1172"/>
    <x v="4"/>
    <n v="50"/>
    <x v="2"/>
    <n v="45.364577879999999"/>
    <n v="0.56411022499999997"/>
    <n v="25.041460300000001"/>
    <x v="2"/>
    <n v="39.082325990000001"/>
    <n v="91.733706080000005"/>
    <x v="108"/>
    <x v="4"/>
    <x v="0"/>
    <x v="0"/>
    <n v="11.942538162911431"/>
    <x v="1"/>
  </r>
  <r>
    <s v="User_1173"/>
    <x v="1"/>
    <n v="50"/>
    <x v="4"/>
    <n v="27.498043110000001"/>
    <n v="1.3744963859999999"/>
    <n v="46.477342950000001"/>
    <x v="3"/>
    <n v="61.564447999999999"/>
    <n v="63.289723670000001"/>
    <x v="109"/>
    <x v="8"/>
    <x v="0"/>
    <x v="1"/>
    <n v="0.23720852375147097"/>
    <x v="3"/>
  </r>
  <r>
    <s v="User_1174"/>
    <x v="4"/>
    <n v="100"/>
    <x v="1"/>
    <n v="74.706930880000002"/>
    <n v="3.6814929799999998"/>
    <n v="33.463625659999998"/>
    <x v="1"/>
    <n v="56.908197430000001"/>
    <n v="90.237969930000006"/>
    <x v="110"/>
    <x v="11"/>
    <x v="1"/>
    <x v="0"/>
    <n v="24.899650104036251"/>
    <x v="0"/>
  </r>
  <r>
    <s v="User_1177"/>
    <x v="4"/>
    <n v="75"/>
    <x v="2"/>
    <n v="9.5165273330000009"/>
    <n v="1.278370024"/>
    <n v="48.576491099999998"/>
    <x v="2"/>
    <n v="18.262214820000001"/>
    <n v="88.414129979999998"/>
    <x v="111"/>
    <x v="5"/>
    <x v="2"/>
    <x v="1"/>
    <n v="5.0070196356182786"/>
    <x v="2"/>
  </r>
  <r>
    <s v="User_1179"/>
    <x v="1"/>
    <n v="50"/>
    <x v="0"/>
    <n v="5.7555246489999998"/>
    <n v="2.2904466879999998"/>
    <n v="39.127025400000001"/>
    <x v="0"/>
    <n v="63.615568699999997"/>
    <n v="73.807350450000001"/>
    <x v="112"/>
    <x v="8"/>
    <x v="0"/>
    <x v="0"/>
    <n v="0.29329525539676687"/>
    <x v="3"/>
  </r>
  <r>
    <s v="User_1180"/>
    <x v="3"/>
    <n v="100"/>
    <x v="1"/>
    <n v="13.0035395"/>
    <n v="1.704673382"/>
    <n v="41.184942669999998"/>
    <x v="0"/>
    <n v="40.694992130000003"/>
    <n v="57.666008929999997"/>
    <x v="113"/>
    <x v="9"/>
    <x v="2"/>
    <x v="1"/>
    <n v="2.2068328731396352"/>
    <x v="3"/>
  </r>
  <r>
    <s v="User_1181"/>
    <x v="4"/>
    <n v="62"/>
    <x v="3"/>
    <n v="21.35157384"/>
    <n v="2.8572143400000001"/>
    <n v="21.496163370000001"/>
    <x v="0"/>
    <n v="49.32313954"/>
    <n v="56.183631869999999"/>
    <x v="114"/>
    <x v="9"/>
    <x v="1"/>
    <x v="0"/>
    <n v="0.90819031308904163"/>
    <x v="3"/>
  </r>
  <r>
    <s v="User_1183"/>
    <x v="1"/>
    <n v="100"/>
    <x v="0"/>
    <n v="9.2060126950000001"/>
    <n v="2.8588177140000002"/>
    <n v="14.83291702"/>
    <x v="1"/>
    <n v="46.607930459999999"/>
    <n v="66.146788060000006"/>
    <x v="115"/>
    <x v="2"/>
    <x v="0"/>
    <x v="1"/>
    <n v="1.798749711113973"/>
    <x v="3"/>
  </r>
  <r>
    <s v="User_1184"/>
    <x v="4"/>
    <n v="75"/>
    <x v="2"/>
    <n v="19.936707179999999"/>
    <n v="1.9064831849999999"/>
    <n v="26.749078189999999"/>
    <x v="1"/>
    <n v="12.434282850000001"/>
    <n v="139.89740810000001"/>
    <x v="116"/>
    <x v="8"/>
    <x v="2"/>
    <x v="1"/>
    <n v="19.058962532676855"/>
    <x v="1"/>
  </r>
  <r>
    <s v="User_1186"/>
    <x v="2"/>
    <n v="85"/>
    <x v="3"/>
    <n v="76.187787880000002"/>
    <n v="2.8502383450000002"/>
    <n v="14.984051429999999"/>
    <x v="1"/>
    <n v="10.28531461"/>
    <n v="76.733735409999994"/>
    <x v="117"/>
    <x v="5"/>
    <x v="1"/>
    <x v="1"/>
    <n v="43.031744605406729"/>
    <x v="0"/>
  </r>
  <r>
    <s v="User_1187"/>
    <x v="3"/>
    <n v="75"/>
    <x v="0"/>
    <n v="72.940731659999997"/>
    <n v="3.6092298199999999"/>
    <n v="13.825035590000001"/>
    <x v="3"/>
    <n v="44.086319349999997"/>
    <n v="61.937250519999999"/>
    <x v="118"/>
    <x v="9"/>
    <x v="0"/>
    <x v="1"/>
    <n v="9.7654498526407494"/>
    <x v="2"/>
  </r>
  <r>
    <s v="User_1193"/>
    <x v="1"/>
    <n v="85"/>
    <x v="4"/>
    <n v="18.017051009999999"/>
    <n v="2.4616037159999999"/>
    <n v="43.701168260000003"/>
    <x v="2"/>
    <n v="71.410758569999999"/>
    <n v="76.221361720000004"/>
    <x v="119"/>
    <x v="7"/>
    <x v="0"/>
    <x v="2"/>
    <n v="0.73671949991054264"/>
    <x v="3"/>
  </r>
  <r>
    <s v="User_1194"/>
    <x v="4"/>
    <n v="75"/>
    <x v="3"/>
    <n v="59.126629340000001"/>
    <n v="2.4214112220000001"/>
    <n v="6.9386140789999997"/>
    <x v="0"/>
    <n v="47.378590580000001"/>
    <n v="51.070619780000001"/>
    <x v="120"/>
    <x v="5"/>
    <x v="1"/>
    <x v="0"/>
    <n v="1.6372293151564252"/>
    <x v="3"/>
  </r>
  <r>
    <s v="User_1195"/>
    <x v="1"/>
    <n v="85"/>
    <x v="2"/>
    <n v="35.866680989999999"/>
    <n v="4.2266678730000002"/>
    <n v="32.79732044"/>
    <x v="3"/>
    <n v="83.515686040000006"/>
    <n v="85.701878489999999"/>
    <x v="121"/>
    <x v="18"/>
    <x v="0"/>
    <x v="0"/>
    <n v="0.66649747108861812"/>
    <x v="3"/>
  </r>
  <r>
    <s v="User_1196"/>
    <x v="3"/>
    <n v="62"/>
    <x v="3"/>
    <n v="5.2001126009999998"/>
    <n v="1.8876640010000001"/>
    <n v="49.333234519999998"/>
    <x v="1"/>
    <n v="18.983577709999999"/>
    <n v="89.644635550000004"/>
    <x v="122"/>
    <x v="19"/>
    <x v="1"/>
    <x v="2"/>
    <n v="2.2781618350973982"/>
    <x v="3"/>
  </r>
  <r>
    <s v="User_1197"/>
    <x v="4"/>
    <n v="50"/>
    <x v="1"/>
    <n v="28.772274029999998"/>
    <n v="1.192906394"/>
    <n v="25.798792630000001"/>
    <x v="0"/>
    <n v="27.985355250000001"/>
    <n v="69.496378089999993"/>
    <x v="123"/>
    <x v="9"/>
    <x v="2"/>
    <x v="2"/>
    <n v="5.9718326220903428"/>
    <x v="2"/>
  </r>
  <r>
    <s v="User_1198"/>
    <x v="1"/>
    <n v="75"/>
    <x v="4"/>
    <n v="61.908017170000001"/>
    <n v="3.0997679219999998"/>
    <n v="37.774422649999998"/>
    <x v="3"/>
    <n v="18.216135309999999"/>
    <n v="88.055422089999993"/>
    <x v="124"/>
    <x v="8"/>
    <x v="1"/>
    <x v="1"/>
    <n v="32.427088238375951"/>
    <x v="0"/>
  </r>
  <r>
    <s v="User_1199"/>
    <x v="0"/>
    <n v="100"/>
    <x v="4"/>
    <n v="35.017606520000001"/>
    <n v="2.848815611"/>
    <n v="12.54074293"/>
    <x v="3"/>
    <n v="19.069365300000001"/>
    <n v="77.586916509999995"/>
    <x v="125"/>
    <x v="8"/>
    <x v="1"/>
    <x v="2"/>
    <n v="20.491445827857298"/>
    <x v="0"/>
  </r>
  <r>
    <s v="User_12"/>
    <x v="2"/>
    <n v="85"/>
    <x v="3"/>
    <n v="22.56492948"/>
    <n v="2.0578886220000001"/>
    <n v="4.4648226290000004"/>
    <x v="0"/>
    <n v="14.618902370000001"/>
    <n v="85.857494149999994"/>
    <x v="126"/>
    <x v="5"/>
    <x v="0"/>
    <x v="2"/>
    <n v="13.663697298046763"/>
    <x v="1"/>
  </r>
  <r>
    <s v="User_1200"/>
    <x v="4"/>
    <n v="50"/>
    <x v="4"/>
    <n v="14.80448874"/>
    <n v="2.6140629880000001"/>
    <n v="27.499247530000002"/>
    <x v="1"/>
    <n v="19.598024649999999"/>
    <n v="82.033538410000006"/>
    <x v="127"/>
    <x v="8"/>
    <x v="0"/>
    <x v="1"/>
    <n v="4.6216293021801764"/>
    <x v="2"/>
  </r>
  <r>
    <s v="User_1201"/>
    <x v="4"/>
    <n v="75"/>
    <x v="2"/>
    <n v="65.102918740000007"/>
    <n v="1.020825259"/>
    <n v="47.439752149999997"/>
    <x v="2"/>
    <n v="17.253972050000002"/>
    <n v="99.671797569999995"/>
    <x v="128"/>
    <x v="7"/>
    <x v="1"/>
    <x v="0"/>
    <n v="40.242307481670444"/>
    <x v="0"/>
  </r>
  <r>
    <s v="User_1202"/>
    <x v="0"/>
    <n v="75"/>
    <x v="2"/>
    <n v="18.120951030000001"/>
    <n v="3.405813277"/>
    <n v="35.164034360000002"/>
    <x v="3"/>
    <n v="41.081555229999999"/>
    <n v="146.75945139999999"/>
    <x v="129"/>
    <x v="2"/>
    <x v="1"/>
    <x v="1"/>
    <n v="14.362379860874961"/>
    <x v="1"/>
  </r>
  <r>
    <s v="User_1206"/>
    <x v="1"/>
    <n v="100"/>
    <x v="1"/>
    <n v="45.858999050000001"/>
    <n v="1.3093292809999999"/>
    <n v="47.503737970000003"/>
    <x v="3"/>
    <n v="26.447257319999999"/>
    <n v="50.88290885"/>
    <x v="130"/>
    <x v="7"/>
    <x v="2"/>
    <x v="2"/>
    <n v="11.205945203004012"/>
    <x v="1"/>
  </r>
  <r>
    <s v="User_1210"/>
    <x v="1"/>
    <n v="75"/>
    <x v="1"/>
    <n v="21.0535794"/>
    <n v="1.4617679830000001"/>
    <n v="6.3060660009999996"/>
    <x v="2"/>
    <n v="50.709819230000001"/>
    <n v="64.136523499999996"/>
    <x v="131"/>
    <x v="4"/>
    <x v="0"/>
    <x v="2"/>
    <n v="2.1201013832157294"/>
    <x v="3"/>
  </r>
  <r>
    <s v="User_1214"/>
    <x v="0"/>
    <n v="86.166488470000004"/>
    <x v="3"/>
    <n v="41.01292041"/>
    <n v="3.0695423069999999"/>
    <n v="35.239594289999999"/>
    <x v="1"/>
    <n v="56.930676730000002"/>
    <n v="79.675049549999997"/>
    <x v="132"/>
    <x v="0"/>
    <x v="1"/>
    <x v="0"/>
    <n v="8.0377233727326978"/>
    <x v="2"/>
  </r>
  <r>
    <s v="User_1216"/>
    <x v="2"/>
    <n v="100"/>
    <x v="4"/>
    <n v="52.28437229"/>
    <n v="1.7728069"/>
    <n v="23.87673157"/>
    <x v="3"/>
    <n v="21.858620179999999"/>
    <n v="79.264628830000007"/>
    <x v="133"/>
    <x v="9"/>
    <x v="0"/>
    <x v="2"/>
    <n v="30.014371279395604"/>
    <x v="0"/>
  </r>
  <r>
    <s v="User_1217"/>
    <x v="2"/>
    <n v="75"/>
    <x v="0"/>
    <n v="77.632345689999994"/>
    <n v="3.3068740179999998"/>
    <n v="11.179014560000001"/>
    <x v="0"/>
    <n v="54.643859300000003"/>
    <n v="58.018184779999999"/>
    <x v="134"/>
    <x v="0"/>
    <x v="0"/>
    <x v="0"/>
    <n v="1.9646760160045114"/>
    <x v="3"/>
  </r>
  <r>
    <s v="User_1218"/>
    <x v="4"/>
    <n v="50"/>
    <x v="1"/>
    <n v="14.1753932"/>
    <n v="2.2061443289999998"/>
    <n v="21.857389619999999"/>
    <x v="3"/>
    <n v="18.13937752"/>
    <n v="64.344094889999994"/>
    <x v="135"/>
    <x v="2"/>
    <x v="1"/>
    <x v="2"/>
    <n v="3.2748501820730991"/>
    <x v="2"/>
  </r>
  <r>
    <s v="User_1219"/>
    <x v="1"/>
    <n v="62"/>
    <x v="3"/>
    <n v="28.337522360000001"/>
    <n v="2.2607468719999999"/>
    <n v="36.28607873"/>
    <x v="3"/>
    <n v="25.450179510000002"/>
    <n v="95.748064099999993"/>
    <x v="136"/>
    <x v="2"/>
    <x v="0"/>
    <x v="1"/>
    <n v="12.350820833864912"/>
    <x v="1"/>
  </r>
  <r>
    <s v="User_1221"/>
    <x v="4"/>
    <n v="75"/>
    <x v="3"/>
    <n v="45.451115360000003"/>
    <n v="1.1310299989999999"/>
    <n v="12.817069910000001"/>
    <x v="3"/>
    <n v="59.313025609999997"/>
    <n v="59.871478740000001"/>
    <x v="137"/>
    <x v="5"/>
    <x v="2"/>
    <x v="2"/>
    <n v="0.19036738226087435"/>
    <x v="3"/>
  </r>
  <r>
    <s v="User_1225"/>
    <x v="2"/>
    <n v="50"/>
    <x v="3"/>
    <n v="8.6412820410000002"/>
    <n v="2.4946629379999998"/>
    <n v="19.669670790000001"/>
    <x v="3"/>
    <n v="13.248417760000001"/>
    <n v="85.291838690000006"/>
    <x v="138"/>
    <x v="7"/>
    <x v="0"/>
    <x v="2"/>
    <n v="3.1127375972730631"/>
    <x v="2"/>
  </r>
  <r>
    <s v="User_1228"/>
    <x v="3"/>
    <n v="64.925382619999993"/>
    <x v="4"/>
    <n v="77.266219950000007"/>
    <n v="3.498121979"/>
    <n v="28.926485020000001"/>
    <x v="1"/>
    <n v="34.592327969999999"/>
    <n v="92.205410499999999"/>
    <x v="139"/>
    <x v="8"/>
    <x v="2"/>
    <x v="0"/>
    <n v="28.901826930661308"/>
    <x v="0"/>
  </r>
  <r>
    <s v="User_1229"/>
    <x v="2"/>
    <n v="100"/>
    <x v="1"/>
    <n v="5.9951405649999998"/>
    <n v="3.9769703839999999"/>
    <n v="34.953901770000002"/>
    <x v="0"/>
    <n v="36.398050269999999"/>
    <n v="62.029398280000002"/>
    <x v="140"/>
    <x v="4"/>
    <x v="0"/>
    <x v="0"/>
    <n v="1.5366353419038306"/>
    <x v="3"/>
  </r>
  <r>
    <s v="User_1230"/>
    <x v="1"/>
    <n v="54.032236269999999"/>
    <x v="0"/>
    <n v="21.270741910000002"/>
    <n v="3.3423560490000002"/>
    <n v="40.176850770000001"/>
    <x v="1"/>
    <n v="23.971109179999999"/>
    <n v="90.943025809999995"/>
    <x v="141"/>
    <x v="9"/>
    <x v="0"/>
    <x v="0"/>
    <n v="7.6971209040102702"/>
    <x v="2"/>
  </r>
  <r>
    <s v="User_1231"/>
    <x v="2"/>
    <n v="62"/>
    <x v="2"/>
    <n v="38.138606539999998"/>
    <n v="0.948056228"/>
    <n v="42.516688760000001"/>
    <x v="0"/>
    <n v="79.209664340000003"/>
    <n v="147.4921301"/>
    <x v="142"/>
    <x v="2"/>
    <x v="1"/>
    <x v="1"/>
    <n v="16.146028190250298"/>
    <x v="1"/>
  </r>
  <r>
    <s v="User_1233"/>
    <x v="3"/>
    <n v="50"/>
    <x v="0"/>
    <n v="12.893142360000001"/>
    <n v="2.1412999519999998"/>
    <n v="17.34136646"/>
    <x v="1"/>
    <n v="78.392871229999997"/>
    <n v="78.815907490000001"/>
    <x v="143"/>
    <x v="5"/>
    <x v="2"/>
    <x v="1"/>
    <n v="2.7271333618110089E-2"/>
    <x v="3"/>
  </r>
  <r>
    <s v="User_1238"/>
    <x v="3"/>
    <n v="100"/>
    <x v="3"/>
    <n v="77.698790250000002"/>
    <n v="1.224897157"/>
    <n v="26.423781940000001"/>
    <x v="0"/>
    <n v="52.498644880000001"/>
    <n v="66.179190660000003"/>
    <x v="144"/>
    <x v="4"/>
    <x v="2"/>
    <x v="2"/>
    <n v="10.629618570657428"/>
    <x v="1"/>
  </r>
  <r>
    <s v="User_1239"/>
    <x v="3"/>
    <n v="85"/>
    <x v="3"/>
    <n v="94.365329410000001"/>
    <n v="2.2434218069999998"/>
    <n v="31.654115999999998"/>
    <x v="3"/>
    <n v="43.879008939999999"/>
    <n v="62.259321460000002"/>
    <x v="145"/>
    <x v="2"/>
    <x v="2"/>
    <x v="2"/>
    <n v="14.742946087672653"/>
    <x v="1"/>
  </r>
  <r>
    <s v="User_124"/>
    <x v="2"/>
    <n v="50"/>
    <x v="1"/>
    <n v="7.5159403559999998"/>
    <n v="3.416869599"/>
    <n v="10.621385890000001"/>
    <x v="3"/>
    <n v="61.762801969999998"/>
    <n v="83.207801470000007"/>
    <x v="146"/>
    <x v="9"/>
    <x v="1"/>
    <x v="1"/>
    <n v="0.80589668588224939"/>
    <x v="3"/>
  </r>
  <r>
    <s v="User_1240"/>
    <x v="3"/>
    <n v="62"/>
    <x v="4"/>
    <n v="43.958226320000001"/>
    <n v="1.767862582"/>
    <n v="36.002754170000003"/>
    <x v="2"/>
    <n v="60.904865239999999"/>
    <n v="81.093565139999995"/>
    <x v="147"/>
    <x v="7"/>
    <x v="0"/>
    <x v="2"/>
    <n v="5.5022485237267196"/>
    <x v="2"/>
  </r>
  <r>
    <s v="User_1241"/>
    <x v="3"/>
    <n v="85"/>
    <x v="1"/>
    <n v="76.480744200000004"/>
    <n v="1.912724342"/>
    <n v="42.366246629999999"/>
    <x v="1"/>
    <n v="27.9459135"/>
    <n v="85.8155237"/>
    <x v="148"/>
    <x v="8"/>
    <x v="0"/>
    <x v="2"/>
    <n v="37.620242264609246"/>
    <x v="0"/>
  </r>
  <r>
    <s v="User_1242"/>
    <x v="1"/>
    <n v="78.511077760000006"/>
    <x v="3"/>
    <n v="66.178195250000002"/>
    <n v="3.2649354229999998"/>
    <n v="5.9231767800000004"/>
    <x v="3"/>
    <n v="40.621732440000002"/>
    <n v="54.00886612"/>
    <x v="149"/>
    <x v="8"/>
    <x v="0"/>
    <x v="0"/>
    <n v="6.9555817391483892"/>
    <x v="2"/>
  </r>
  <r>
    <s v="User_1246"/>
    <x v="2"/>
    <n v="50"/>
    <x v="0"/>
    <n v="43.126038119999997"/>
    <n v="2.7653907900000001"/>
    <n v="5.766635774"/>
    <x v="1"/>
    <n v="69.618708240000004"/>
    <n v="77.39673449"/>
    <x v="150"/>
    <x v="20"/>
    <x v="2"/>
    <x v="0"/>
    <n v="1.6771772827793023"/>
    <x v="3"/>
  </r>
  <r>
    <s v="User_1247"/>
    <x v="2"/>
    <n v="75"/>
    <x v="4"/>
    <n v="60.68153839"/>
    <n v="2.2151488210000001"/>
    <n v="15.631492189999999"/>
    <x v="2"/>
    <n v="52.460956009999997"/>
    <n v="69.584656499999994"/>
    <x v="151"/>
    <x v="0"/>
    <x v="2"/>
    <x v="0"/>
    <n v="7.7931936649709739"/>
    <x v="2"/>
  </r>
  <r>
    <s v="User_1248"/>
    <x v="4"/>
    <n v="85"/>
    <x v="2"/>
    <n v="33.674462339999998"/>
    <n v="2.008872706"/>
    <n v="24.859551939999999"/>
    <x v="2"/>
    <n v="57.202077729999999"/>
    <n v="71.725309879999998"/>
    <x v="152"/>
    <x v="11"/>
    <x v="1"/>
    <x v="1"/>
    <n v="4.157027289767143"/>
    <x v="2"/>
  </r>
  <r>
    <s v="User_1249"/>
    <x v="1"/>
    <n v="100"/>
    <x v="2"/>
    <n v="54.548591690000002"/>
    <n v="1.6032344650000001"/>
    <n v="19.10287022"/>
    <x v="2"/>
    <n v="65.651328629999995"/>
    <n v="86.256685590000004"/>
    <x v="153"/>
    <x v="8"/>
    <x v="0"/>
    <x v="0"/>
    <n v="11.239932034377402"/>
    <x v="1"/>
  </r>
  <r>
    <s v="User_125"/>
    <x v="3"/>
    <n v="75"/>
    <x v="0"/>
    <n v="64.419049290000004"/>
    <n v="3.1900131030000001"/>
    <n v="24.621651180000001"/>
    <x v="0"/>
    <n v="49.173845239999999"/>
    <n v="62.341860349999997"/>
    <x v="154"/>
    <x v="0"/>
    <x v="1"/>
    <x v="2"/>
    <n v="6.3620326081691596"/>
    <x v="2"/>
  </r>
  <r>
    <s v="User_1250"/>
    <x v="0"/>
    <n v="62"/>
    <x v="1"/>
    <n v="14.11630705"/>
    <n v="0.94000217699999999"/>
    <n v="21.383146369999999"/>
    <x v="2"/>
    <n v="27.57103931"/>
    <n v="60.910861779999998"/>
    <x v="155"/>
    <x v="4"/>
    <x v="2"/>
    <x v="0"/>
    <n v="2.9179380600698583"/>
    <x v="3"/>
  </r>
  <r>
    <s v="User_1252"/>
    <x v="2"/>
    <n v="50"/>
    <x v="0"/>
    <n v="26.586710220000001"/>
    <n v="1.724436589"/>
    <n v="24.450763240000001"/>
    <x v="2"/>
    <n v="77.975412259999999"/>
    <n v="91.452020169999997"/>
    <x v="156"/>
    <x v="11"/>
    <x v="1"/>
    <x v="2"/>
    <n v="1.7914933462586489"/>
    <x v="3"/>
  </r>
  <r>
    <s v="User_1255"/>
    <x v="2"/>
    <n v="100"/>
    <x v="4"/>
    <n v="20.074649900000001"/>
    <n v="2.4691052230000001"/>
    <n v="48.073862200000001"/>
    <x v="2"/>
    <n v="27.431445140000001"/>
    <n v="68.085245279999995"/>
    <x v="157"/>
    <x v="5"/>
    <x v="0"/>
    <x v="1"/>
    <n v="8.1611080491507089"/>
    <x v="2"/>
  </r>
  <r>
    <s v="User_1257"/>
    <x v="0"/>
    <n v="75"/>
    <x v="0"/>
    <n v="5.8928351640000001"/>
    <n v="1.2359897740000001"/>
    <n v="40.776826990000004"/>
    <x v="2"/>
    <n v="12.90517915"/>
    <n v="57.54316927"/>
    <x v="158"/>
    <x v="11"/>
    <x v="2"/>
    <x v="0"/>
    <n v="1.9728323837206545"/>
    <x v="3"/>
  </r>
  <r>
    <s v="User_1258"/>
    <x v="2"/>
    <n v="75"/>
    <x v="2"/>
    <n v="48.524914269999996"/>
    <n v="3.001670866"/>
    <n v="6.0234792390000003"/>
    <x v="1"/>
    <n v="53.067247899999998"/>
    <n v="90.076231460000002"/>
    <x v="159"/>
    <x v="9"/>
    <x v="2"/>
    <x v="0"/>
    <n v="13.468933158516297"/>
    <x v="1"/>
  </r>
  <r>
    <s v="User_1259"/>
    <x v="2"/>
    <n v="100"/>
    <x v="4"/>
    <n v="51.94497776"/>
    <n v="2.4615937140000002"/>
    <n v="9.1660366369999995"/>
    <x v="1"/>
    <n v="61.464013280000003"/>
    <n v="96.389604759999997"/>
    <x v="160"/>
    <x v="8"/>
    <x v="1"/>
    <x v="0"/>
    <n v="18.14209072683445"/>
    <x v="1"/>
  </r>
  <r>
    <s v="User_126"/>
    <x v="0"/>
    <n v="85"/>
    <x v="2"/>
    <n v="6.1890159029999996"/>
    <n v="1.2918547119999999"/>
    <n v="19.715350489999999"/>
    <x v="2"/>
    <n v="34.600221959999999"/>
    <n v="101.6760987"/>
    <x v="161"/>
    <x v="11"/>
    <x v="1"/>
    <x v="1"/>
    <n v="3.5286361767379861"/>
    <x v="2"/>
  </r>
  <r>
    <s v="User_1260"/>
    <x v="3"/>
    <n v="85"/>
    <x v="3"/>
    <n v="20.790436010000001"/>
    <n v="3.2474625769999999"/>
    <n v="41.237211279999997"/>
    <x v="0"/>
    <n v="49.966932249999999"/>
    <n v="63.11113229"/>
    <x v="162"/>
    <x v="0"/>
    <x v="1"/>
    <x v="2"/>
    <n v="2.3228260235912055"/>
    <x v="3"/>
  </r>
  <r>
    <s v="User_1263"/>
    <x v="4"/>
    <n v="50"/>
    <x v="3"/>
    <n v="19.958025280000001"/>
    <n v="1.2982715789999999"/>
    <n v="43.007658050000003"/>
    <x v="3"/>
    <n v="15.820122019999999"/>
    <n v="53.374812259999999"/>
    <x v="163"/>
    <x v="0"/>
    <x v="1"/>
    <x v="1"/>
    <n v="3.7475872859624464"/>
    <x v="2"/>
  </r>
  <r>
    <s v="User_1265"/>
    <x v="3"/>
    <n v="50"/>
    <x v="1"/>
    <n v="45.159373170000002"/>
    <n v="0.91904629900000001"/>
    <n v="31.312481349999999"/>
    <x v="2"/>
    <n v="11.792607719999999"/>
    <n v="50.75166479"/>
    <x v="164"/>
    <x v="4"/>
    <x v="1"/>
    <x v="0"/>
    <n v="8.7968329828772838"/>
    <x v="2"/>
  </r>
  <r>
    <s v="User_1266"/>
    <x v="0"/>
    <n v="100"/>
    <x v="1"/>
    <n v="60.831103550000002"/>
    <n v="3.57418937"/>
    <n v="48.321236169999999"/>
    <x v="1"/>
    <n v="26.45024652"/>
    <n v="83.898866670000004"/>
    <x v="165"/>
    <x v="21"/>
    <x v="2"/>
    <x v="1"/>
    <n v="34.946629611492675"/>
    <x v="0"/>
  </r>
  <r>
    <s v="User_1269"/>
    <x v="3"/>
    <n v="85"/>
    <x v="3"/>
    <n v="27.637934019999999"/>
    <n v="1.920578841"/>
    <n v="57.099752170000002"/>
    <x v="2"/>
    <n v="38.422520210000002"/>
    <n v="73.058618679999995"/>
    <x v="166"/>
    <x v="2"/>
    <x v="1"/>
    <x v="0"/>
    <n v="8.1367967359047029"/>
    <x v="2"/>
  </r>
  <r>
    <s v="User_1270"/>
    <x v="1"/>
    <n v="62"/>
    <x v="4"/>
    <n v="66.461054129999994"/>
    <n v="3.8941598989999999"/>
    <n v="47.723498220000003"/>
    <x v="1"/>
    <n v="61.049162180000003"/>
    <n v="70.390150649999995"/>
    <x v="167"/>
    <x v="22"/>
    <x v="1"/>
    <x v="1"/>
    <n v="3.8490340300607269"/>
    <x v="2"/>
  </r>
  <r>
    <s v="User_1273"/>
    <x v="3"/>
    <n v="62"/>
    <x v="1"/>
    <n v="10.201613010000001"/>
    <n v="3.993692464"/>
    <n v="36.800425259999997"/>
    <x v="0"/>
    <n v="67.363048109999994"/>
    <n v="94.846137049999996"/>
    <x v="168"/>
    <x v="11"/>
    <x v="2"/>
    <x v="1"/>
    <n v="1.7383053936488049"/>
    <x v="3"/>
  </r>
  <r>
    <s v="User_1275"/>
    <x v="2"/>
    <n v="85"/>
    <x v="3"/>
    <n v="8.9369137960000007"/>
    <n v="3.6232607880000001"/>
    <n v="35.317124040000003"/>
    <x v="3"/>
    <n v="27.047854489999999"/>
    <n v="93.46087661"/>
    <x v="169"/>
    <x v="9"/>
    <x v="1"/>
    <x v="0"/>
    <n v="5.0449833557553907"/>
    <x v="2"/>
  </r>
  <r>
    <s v="User_1276"/>
    <x v="4"/>
    <n v="62"/>
    <x v="0"/>
    <n v="26.44403312"/>
    <n v="3.6922374580000001"/>
    <n v="27.121429899999999"/>
    <x v="1"/>
    <n v="63.481603870000001"/>
    <n v="80.477755079999994"/>
    <x v="170"/>
    <x v="8"/>
    <x v="1"/>
    <x v="0"/>
    <n v="2.7865700701605611"/>
    <x v="3"/>
  </r>
  <r>
    <s v="User_1277"/>
    <x v="3"/>
    <n v="100"/>
    <x v="0"/>
    <n v="42.017959500000003"/>
    <n v="0.73026584699999997"/>
    <n v="13.30298668"/>
    <x v="2"/>
    <n v="55.038404849999999"/>
    <n v="70.450057049999998"/>
    <x v="171"/>
    <x v="4"/>
    <x v="0"/>
    <x v="2"/>
    <n v="6.4756617796768579"/>
    <x v="2"/>
  </r>
  <r>
    <s v="User_1279"/>
    <x v="4"/>
    <n v="50"/>
    <x v="2"/>
    <n v="34.541347620000003"/>
    <n v="2.5391782539999999"/>
    <n v="14.23959211"/>
    <x v="1"/>
    <n v="16.960526959999999"/>
    <n v="84.599056259999998"/>
    <x v="172"/>
    <x v="0"/>
    <x v="0"/>
    <x v="0"/>
    <n v="11.681629765284278"/>
    <x v="1"/>
  </r>
  <r>
    <s v="User_1280"/>
    <x v="4"/>
    <n v="100"/>
    <x v="3"/>
    <n v="67.078282160000001"/>
    <n v="3.8839828129999998"/>
    <n v="23.098143350000001"/>
    <x v="1"/>
    <n v="23.03221546"/>
    <n v="95.028311770000002"/>
    <x v="173"/>
    <x v="8"/>
    <x v="2"/>
    <x v="2"/>
    <n v="48.293744627007143"/>
    <x v="0"/>
  </r>
  <r>
    <s v="User_1281"/>
    <x v="3"/>
    <n v="100"/>
    <x v="4"/>
    <n v="39.706995569999997"/>
    <n v="3.7751353999999999"/>
    <n v="18.685293659999999"/>
    <x v="0"/>
    <n v="34.037647560000003"/>
    <n v="96.365747949999999"/>
    <x v="174"/>
    <x v="2"/>
    <x v="1"/>
    <x v="1"/>
    <n v="24.748616060722448"/>
    <x v="0"/>
  </r>
  <r>
    <s v="User_1283"/>
    <x v="1"/>
    <n v="62"/>
    <x v="3"/>
    <n v="30.751503979999999"/>
    <n v="3.7776687529999999"/>
    <n v="19.480123949999999"/>
    <x v="0"/>
    <n v="49.526883460000001"/>
    <n v="68.653107340000005"/>
    <x v="175"/>
    <x v="23"/>
    <x v="2"/>
    <x v="2"/>
    <n v="3.6465929285627849"/>
    <x v="2"/>
  </r>
  <r>
    <s v="User_1286"/>
    <x v="3"/>
    <n v="100"/>
    <x v="0"/>
    <n v="85.039854309999996"/>
    <n v="3.7083846380000001"/>
    <n v="26.726596799999999"/>
    <x v="0"/>
    <n v="32.362801959999999"/>
    <n v="55.988657920000001"/>
    <x v="176"/>
    <x v="2"/>
    <x v="1"/>
    <x v="1"/>
    <n v="20.091393487874452"/>
    <x v="0"/>
  </r>
  <r>
    <s v="User_1287"/>
    <x v="2"/>
    <n v="50"/>
    <x v="0"/>
    <n v="47.767847340000003"/>
    <n v="2.6794513869999999"/>
    <n v="32.99434153"/>
    <x v="3"/>
    <n v="13.709453509999999"/>
    <n v="97.589405319999997"/>
    <x v="177"/>
    <x v="9"/>
    <x v="1"/>
    <x v="2"/>
    <n v="20.033823664733184"/>
    <x v="0"/>
  </r>
  <r>
    <s v="User_1288"/>
    <x v="4"/>
    <n v="62"/>
    <x v="0"/>
    <n v="57.454421170000003"/>
    <n v="1.1211552950000001"/>
    <n v="35.730229370000004"/>
    <x v="1"/>
    <n v="32.341871529999999"/>
    <n v="89.617145590000007"/>
    <x v="178"/>
    <x v="11"/>
    <x v="2"/>
    <x v="1"/>
    <n v="20.402449854516583"/>
    <x v="0"/>
  </r>
  <r>
    <s v="User_129"/>
    <x v="1"/>
    <n v="93.273780669999994"/>
    <x v="4"/>
    <n v="15.660564020000001"/>
    <n v="3.1406501630000001"/>
    <n v="7.7021878490000004"/>
    <x v="2"/>
    <n v="30.883226659999998"/>
    <n v="51.480892910000001"/>
    <x v="179"/>
    <x v="0"/>
    <x v="0"/>
    <x v="2"/>
    <n v="3.008742332420979"/>
    <x v="2"/>
  </r>
  <r>
    <s v="User_1291"/>
    <x v="4"/>
    <n v="100"/>
    <x v="1"/>
    <n v="52.739773210000003"/>
    <n v="2.1813898090000001"/>
    <n v="9.721254708"/>
    <x v="2"/>
    <n v="77.810615870000007"/>
    <n v="89.794521660000001"/>
    <x v="180"/>
    <x v="7"/>
    <x v="2"/>
    <x v="1"/>
    <n v="6.3202847353460561"/>
    <x v="2"/>
  </r>
  <r>
    <s v="User_1292"/>
    <x v="0"/>
    <n v="50"/>
    <x v="1"/>
    <n v="61.932979869999997"/>
    <n v="2.768766276"/>
    <n v="37.393092410000001"/>
    <x v="0"/>
    <n v="39.914802090000002"/>
    <n v="53.246014410000001"/>
    <x v="181"/>
    <x v="24"/>
    <x v="2"/>
    <x v="2"/>
    <n v="4.1282085212862798"/>
    <x v="2"/>
  </r>
  <r>
    <s v="User_1293"/>
    <x v="2"/>
    <n v="85"/>
    <x v="3"/>
    <n v="23.437875330000001"/>
    <n v="3.4636469339999998"/>
    <n v="50.350624080000003"/>
    <x v="1"/>
    <n v="81.159387659999993"/>
    <n v="93.275823169999995"/>
    <x v="182"/>
    <x v="4"/>
    <x v="2"/>
    <x v="1"/>
    <n v="2.4138597918826026"/>
    <x v="3"/>
  </r>
  <r>
    <s v="User_1294"/>
    <x v="4"/>
    <n v="62"/>
    <x v="0"/>
    <n v="8.3158057949999993"/>
    <n v="0.72810198599999998"/>
    <n v="11.73724408"/>
    <x v="1"/>
    <n v="38.55338957"/>
    <n v="56.847684460000004"/>
    <x v="183"/>
    <x v="25"/>
    <x v="2"/>
    <x v="2"/>
    <n v="0.94321718146254563"/>
    <x v="3"/>
  </r>
  <r>
    <s v="User_1296"/>
    <x v="4"/>
    <n v="100"/>
    <x v="4"/>
    <n v="71.945059229999998"/>
    <n v="3.9425677719999999"/>
    <n v="7.4776875260000004"/>
    <x v="0"/>
    <n v="21.348620889999999"/>
    <n v="74.290003260000006"/>
    <x v="184"/>
    <x v="4"/>
    <x v="0"/>
    <x v="1"/>
    <n v="38.088708903277286"/>
    <x v="0"/>
  </r>
  <r>
    <s v="User_1297"/>
    <x v="3"/>
    <n v="100"/>
    <x v="2"/>
    <n v="9.2090679309999999"/>
    <n v="2.4162095159999999"/>
    <n v="43.773377109999998"/>
    <x v="0"/>
    <n v="44.006425370000002"/>
    <n v="78.66085588"/>
    <x v="185"/>
    <x v="2"/>
    <x v="1"/>
    <x v="1"/>
    <n v="3.1913500467670897"/>
    <x v="2"/>
  </r>
  <r>
    <s v="User_13"/>
    <x v="1"/>
    <n v="100"/>
    <x v="3"/>
    <n v="34.25645291"/>
    <n v="3.0655847519999999"/>
    <n v="5.5236886189999996"/>
    <x v="2"/>
    <n v="19.205446949999999"/>
    <n v="51.626482729999999"/>
    <x v="186"/>
    <x v="5"/>
    <x v="2"/>
    <x v="1"/>
    <n v="11.106296854909949"/>
    <x v="1"/>
  </r>
  <r>
    <s v="User_1301"/>
    <x v="1"/>
    <n v="62"/>
    <x v="2"/>
    <n v="35.762282689999999"/>
    <n v="1.926370331"/>
    <n v="22.86775772"/>
    <x v="2"/>
    <n v="11.854880939999999"/>
    <n v="114.16784199999999"/>
    <x v="187"/>
    <x v="8"/>
    <x v="1"/>
    <x v="2"/>
    <n v="22.685459224927822"/>
    <x v="0"/>
  </r>
  <r>
    <s v="User_1305"/>
    <x v="2"/>
    <n v="46.172872499999997"/>
    <x v="3"/>
    <n v="60.251440690000003"/>
    <n v="2.7360721469999998"/>
    <n v="42.337925499999997"/>
    <x v="0"/>
    <n v="38.878522320000002"/>
    <n v="51.845622769999999"/>
    <x v="188"/>
    <x v="9"/>
    <x v="2"/>
    <x v="2"/>
    <n v="3.6074241197135302"/>
    <x v="2"/>
  </r>
  <r>
    <s v="User_1307"/>
    <x v="0"/>
    <n v="75"/>
    <x v="3"/>
    <n v="54.825113330000001"/>
    <n v="0.55721332800000001"/>
    <n v="45.863832010000003"/>
    <x v="1"/>
    <n v="71.307837109999994"/>
    <n v="96.797812260000001"/>
    <x v="189"/>
    <x v="4"/>
    <x v="1"/>
    <x v="2"/>
    <n v="10.481180822832258"/>
    <x v="1"/>
  </r>
  <r>
    <s v="User_1308"/>
    <x v="3"/>
    <n v="85"/>
    <x v="1"/>
    <n v="65.232543160000006"/>
    <n v="1.566585949"/>
    <n v="17.129991799999999"/>
    <x v="2"/>
    <n v="48.170846390000001"/>
    <n v="61.353665829999997"/>
    <x v="190"/>
    <x v="7"/>
    <x v="0"/>
    <x v="0"/>
    <n v="7.3095651237674373"/>
    <x v="2"/>
  </r>
  <r>
    <s v="User_1309"/>
    <x v="0"/>
    <n v="75"/>
    <x v="4"/>
    <n v="6.4323241700000002"/>
    <n v="0.93023930799999999"/>
    <n v="9.0259385840000004"/>
    <x v="3"/>
    <n v="71.493804699999998"/>
    <n v="73.286593049999993"/>
    <x v="191"/>
    <x v="0"/>
    <x v="0"/>
    <x v="0"/>
    <n v="8.6488468765495416E-2"/>
    <x v="3"/>
  </r>
  <r>
    <s v="User_131"/>
    <x v="2"/>
    <n v="100"/>
    <x v="4"/>
    <n v="47.527458760000002"/>
    <n v="3.8048996389999998"/>
    <n v="14.328175529999999"/>
    <x v="2"/>
    <n v="59.932996469999999"/>
    <n v="81.183982040000004"/>
    <x v="192"/>
    <x v="8"/>
    <x v="2"/>
    <x v="0"/>
    <n v="10.100053402875304"/>
    <x v="1"/>
  </r>
  <r>
    <s v="User_1310"/>
    <x v="1"/>
    <n v="50"/>
    <x v="2"/>
    <n v="16.12608972"/>
    <n v="3.90961078"/>
    <n v="4.1941969759999997"/>
    <x v="2"/>
    <n v="61.131252480000001"/>
    <n v="71.022774630000001"/>
    <x v="193"/>
    <x v="4"/>
    <x v="2"/>
    <x v="2"/>
    <n v="0.79755786829133657"/>
    <x v="3"/>
  </r>
  <r>
    <s v="User_1312"/>
    <x v="1"/>
    <n v="50"/>
    <x v="0"/>
    <n v="74.276700579999996"/>
    <n v="2.8491514279999999"/>
    <n v="25.07354432"/>
    <x v="3"/>
    <n v="41.344061670000002"/>
    <n v="50.412341259999998"/>
    <x v="194"/>
    <x v="8"/>
    <x v="2"/>
    <x v="0"/>
    <n v="3.3678094394107738"/>
    <x v="2"/>
  </r>
  <r>
    <s v="User_1315"/>
    <x v="1"/>
    <n v="50"/>
    <x v="2"/>
    <n v="43.251453480000002"/>
    <n v="2.5018087680000001"/>
    <n v="63.216118379999998"/>
    <x v="1"/>
    <n v="62.108672400000003"/>
    <n v="65.198895460000003"/>
    <x v="195"/>
    <x v="4"/>
    <x v="1"/>
    <x v="2"/>
    <n v="0.6682831946120662"/>
    <x v="3"/>
  </r>
  <r>
    <s v="User_1316"/>
    <x v="4"/>
    <n v="100"/>
    <x v="2"/>
    <n v="42.011653529999997"/>
    <n v="1.426444322"/>
    <n v="5.8954750860000003"/>
    <x v="0"/>
    <n v="39.204101549999997"/>
    <n v="83.915951800000002"/>
    <x v="196"/>
    <x v="2"/>
    <x v="0"/>
    <x v="0"/>
    <n v="18.784187613882438"/>
    <x v="1"/>
  </r>
  <r>
    <s v="User_1317"/>
    <x v="0"/>
    <n v="100"/>
    <x v="2"/>
    <n v="68.185852870000005"/>
    <n v="3.2382124280000002"/>
    <n v="18.388011509999998"/>
    <x v="0"/>
    <n v="31.456374839999999"/>
    <n v="93.096461360000006"/>
    <x v="197"/>
    <x v="7"/>
    <x v="2"/>
    <x v="1"/>
    <n v="42.029818703467917"/>
    <x v="0"/>
  </r>
  <r>
    <s v="User_1318"/>
    <x v="4"/>
    <n v="100"/>
    <x v="2"/>
    <n v="18.895101660000002"/>
    <n v="3.2671216940000001"/>
    <n v="45.482065970000001"/>
    <x v="0"/>
    <n v="71.903080729999999"/>
    <n v="78.678878699999999"/>
    <x v="198"/>
    <x v="4"/>
    <x v="0"/>
    <x v="0"/>
    <n v="1.2802939147077166"/>
    <x v="3"/>
  </r>
  <r>
    <s v="User_133"/>
    <x v="0"/>
    <n v="50"/>
    <x v="0"/>
    <n v="65.487195959999994"/>
    <n v="2.0662813799999999"/>
    <n v="37.577289559999997"/>
    <x v="0"/>
    <n v="42.835351230000001"/>
    <n v="83.709370539999995"/>
    <x v="199"/>
    <x v="9"/>
    <x v="0"/>
    <x v="2"/>
    <n v="13.383624561133967"/>
    <x v="1"/>
  </r>
  <r>
    <s v="User_135"/>
    <x v="2"/>
    <n v="48.469598560000001"/>
    <x v="4"/>
    <n v="47.290027389999999"/>
    <n v="3.2947308670000002"/>
    <n v="15.408979759999999"/>
    <x v="1"/>
    <n v="28.205012889999999"/>
    <n v="50.640366630000003"/>
    <x v="200"/>
    <x v="2"/>
    <x v="0"/>
    <x v="2"/>
    <n v="5.14247169341657"/>
    <x v="2"/>
  </r>
  <r>
    <s v="User_136"/>
    <x v="2"/>
    <n v="100"/>
    <x v="1"/>
    <n v="48.487567869999999"/>
    <n v="0.56393793599999997"/>
    <n v="16.75976743"/>
    <x v="1"/>
    <n v="35.889037420000001"/>
    <n v="90.85231272"/>
    <x v="201"/>
    <x v="2"/>
    <x v="2"/>
    <x v="2"/>
    <n v="26.65035541466245"/>
    <x v="0"/>
  </r>
  <r>
    <s v="User_138"/>
    <x v="4"/>
    <n v="85"/>
    <x v="0"/>
    <n v="30.065138900000001"/>
    <n v="1.267429956"/>
    <n v="35.871121129999999"/>
    <x v="3"/>
    <n v="13.948323459999999"/>
    <n v="93.598474359999997"/>
    <x v="202"/>
    <x v="11"/>
    <x v="0"/>
    <x v="2"/>
    <n v="20.354889226822912"/>
    <x v="0"/>
  </r>
  <r>
    <s v="User_139"/>
    <x v="4"/>
    <n v="85"/>
    <x v="3"/>
    <n v="74.106450120000005"/>
    <n v="2.965419405"/>
    <n v="32.290910830000001"/>
    <x v="0"/>
    <n v="33.439752550000001"/>
    <n v="86.904399839999996"/>
    <x v="203"/>
    <x v="7"/>
    <x v="1"/>
    <x v="2"/>
    <n v="33.677639349428119"/>
    <x v="0"/>
  </r>
  <r>
    <s v="User_14"/>
    <x v="4"/>
    <n v="75"/>
    <x v="0"/>
    <n v="16.561064330000001"/>
    <n v="3.5909657180000001"/>
    <n v="19.769098719999999"/>
    <x v="1"/>
    <n v="25.775415389999999"/>
    <n v="69.201229100000006"/>
    <x v="204"/>
    <x v="2"/>
    <x v="2"/>
    <x v="0"/>
    <n v="5.3938327082542958"/>
    <x v="2"/>
  </r>
  <r>
    <s v="User_142"/>
    <x v="1"/>
    <n v="62"/>
    <x v="3"/>
    <n v="45.992961370000003"/>
    <n v="2.8457057030000001"/>
    <n v="30.603528099999998"/>
    <x v="3"/>
    <n v="34.86960938"/>
    <n v="77.636593529999999"/>
    <x v="205"/>
    <x v="9"/>
    <x v="2"/>
    <x v="0"/>
    <n v="12.195277549518584"/>
    <x v="1"/>
  </r>
  <r>
    <s v="User_144"/>
    <x v="0"/>
    <n v="50"/>
    <x v="0"/>
    <n v="78.693419219999996"/>
    <n v="2.8560625650000002"/>
    <n v="36.562556370000003"/>
    <x v="0"/>
    <n v="38.190620729999999"/>
    <n v="82.434489229999997"/>
    <x v="206"/>
    <x v="2"/>
    <x v="1"/>
    <x v="2"/>
    <n v="17.40850645892526"/>
    <x v="1"/>
  </r>
  <r>
    <s v="User_145"/>
    <x v="0"/>
    <n v="93.094869549999999"/>
    <x v="3"/>
    <n v="68.030024859999997"/>
    <n v="1.5169722910000001"/>
    <n v="16.395516799999999"/>
    <x v="1"/>
    <n v="50.700247410000003"/>
    <n v="60.745990620000001"/>
    <x v="207"/>
    <x v="5"/>
    <x v="2"/>
    <x v="1"/>
    <n v="6.3622165913266739"/>
    <x v="2"/>
  </r>
  <r>
    <s v="User_146"/>
    <x v="0"/>
    <n v="85"/>
    <x v="0"/>
    <n v="40.248382599999999"/>
    <n v="3.6354899000000001"/>
    <n v="33.732264260000001"/>
    <x v="3"/>
    <n v="45.027313399999997"/>
    <n v="77.802879709999999"/>
    <x v="208"/>
    <x v="9"/>
    <x v="0"/>
    <x v="0"/>
    <n v="11.212890028600677"/>
    <x v="1"/>
  </r>
  <r>
    <s v="User_147"/>
    <x v="0"/>
    <n v="100"/>
    <x v="4"/>
    <n v="74.280734839999994"/>
    <n v="1.0613444679999999"/>
    <n v="41.341801240000002"/>
    <x v="0"/>
    <n v="66.005133799999996"/>
    <n v="82.71272304"/>
    <x v="209"/>
    <x v="2"/>
    <x v="2"/>
    <x v="1"/>
    <n v="12.410520061520774"/>
    <x v="1"/>
  </r>
  <r>
    <s v="User_150"/>
    <x v="0"/>
    <n v="100"/>
    <x v="4"/>
    <n v="52.884130300000002"/>
    <n v="1.2769826580000001"/>
    <n v="35.525961629999998"/>
    <x v="3"/>
    <n v="30.595359609999999"/>
    <n v="76.028269809999998"/>
    <x v="210"/>
    <x v="5"/>
    <x v="1"/>
    <x v="0"/>
    <n v="24.026799429249991"/>
    <x v="0"/>
  </r>
  <r>
    <s v="User_151"/>
    <x v="3"/>
    <n v="50"/>
    <x v="3"/>
    <n v="34.96988837"/>
    <n v="2.4966027039999998"/>
    <n v="19.6515445"/>
    <x v="3"/>
    <n v="36.732618070000001"/>
    <n v="69.4076144"/>
    <x v="211"/>
    <x v="7"/>
    <x v="2"/>
    <x v="0"/>
    <n v="5.7132048707512979"/>
    <x v="2"/>
  </r>
  <r>
    <s v="User_152"/>
    <x v="3"/>
    <n v="85"/>
    <x v="2"/>
    <n v="55.917563170000001"/>
    <n v="2.5532165949999999"/>
    <n v="6.6388071430000002"/>
    <x v="3"/>
    <n v="46.86961642"/>
    <n v="67.959377669999995"/>
    <x v="212"/>
    <x v="9"/>
    <x v="0"/>
    <x v="0"/>
    <n v="10.02394848396529"/>
    <x v="1"/>
  </r>
  <r>
    <s v="User_153"/>
    <x v="3"/>
    <n v="62"/>
    <x v="3"/>
    <n v="76.598012049999994"/>
    <n v="3.320835389"/>
    <n v="31.597204829999999"/>
    <x v="1"/>
    <n v="69.313591270000003"/>
    <n v="92.69136039"/>
    <x v="213"/>
    <x v="8"/>
    <x v="0"/>
    <x v="1"/>
    <n v="11.102281972686439"/>
    <x v="1"/>
  </r>
  <r>
    <s v="User_154"/>
    <x v="3"/>
    <n v="100"/>
    <x v="2"/>
    <n v="20.255975159999998"/>
    <n v="1.351703592"/>
    <n v="3.0234852820000002"/>
    <x v="0"/>
    <n v="79.649885069999996"/>
    <n v="88.237019570000001"/>
    <x v="214"/>
    <x v="5"/>
    <x v="1"/>
    <x v="1"/>
    <n v="1.739407831275791"/>
    <x v="3"/>
  </r>
  <r>
    <s v="User_161"/>
    <x v="2"/>
    <n v="58.0121307"/>
    <x v="4"/>
    <n v="48.99847458"/>
    <n v="3.7364814719999999"/>
    <n v="2.5609434339999999"/>
    <x v="3"/>
    <n v="15.60051543"/>
    <n v="98.00224206"/>
    <x v="215"/>
    <x v="9"/>
    <x v="2"/>
    <x v="2"/>
    <n v="23.422739505827426"/>
    <x v="0"/>
  </r>
  <r>
    <s v="User_162"/>
    <x v="3"/>
    <n v="85"/>
    <x v="2"/>
    <n v="10.277608089999999"/>
    <n v="2.3616183519999998"/>
    <n v="45.686691799999998"/>
    <x v="1"/>
    <n v="27.840014480000001"/>
    <n v="52.205507969999999"/>
    <x v="216"/>
    <x v="26"/>
    <x v="2"/>
    <x v="2"/>
    <n v="2.1285614405821631"/>
    <x v="3"/>
  </r>
  <r>
    <s v="User_164"/>
    <x v="3"/>
    <n v="62"/>
    <x v="2"/>
    <n v="69.105546390000001"/>
    <n v="3.2751936599999998"/>
    <n v="22.98621554"/>
    <x v="2"/>
    <n v="58.584723279999999"/>
    <n v="62.962582040000001"/>
    <x v="217"/>
    <x v="11"/>
    <x v="2"/>
    <x v="2"/>
    <n v="1.8757127940938978"/>
    <x v="3"/>
  </r>
  <r>
    <s v="User_167"/>
    <x v="0"/>
    <n v="75"/>
    <x v="0"/>
    <n v="54.640879099999999"/>
    <n v="3.2496621389999998"/>
    <n v="19.709488489999998"/>
    <x v="1"/>
    <n v="27.0170636"/>
    <n v="85.536758930000005"/>
    <x v="218"/>
    <x v="4"/>
    <x v="1"/>
    <x v="0"/>
    <n v="23.981756981215241"/>
    <x v="0"/>
  </r>
  <r>
    <s v="User_168"/>
    <x v="2"/>
    <n v="75"/>
    <x v="1"/>
    <n v="67.891190530000003"/>
    <n v="3.007291693"/>
    <n v="9.6846869760000001"/>
    <x v="2"/>
    <n v="64.314301569999998"/>
    <n v="77.582616189999996"/>
    <x v="219"/>
    <x v="9"/>
    <x v="2"/>
    <x v="1"/>
    <n v="6.7560125690880328"/>
    <x v="2"/>
  </r>
  <r>
    <s v="User_17"/>
    <x v="0"/>
    <n v="97.681812230000006"/>
    <x v="2"/>
    <n v="24.726937679999999"/>
    <n v="3.4586802790000002"/>
    <n v="49.402738620000001"/>
    <x v="0"/>
    <n v="67.591970910000001"/>
    <n v="89.942229359999999"/>
    <x v="220"/>
    <x v="2"/>
    <x v="0"/>
    <x v="0"/>
    <n v="5.398419031870799"/>
    <x v="2"/>
  </r>
  <r>
    <s v="User_170"/>
    <x v="0"/>
    <n v="85"/>
    <x v="0"/>
    <n v="56.017831540000003"/>
    <n v="1.040974023"/>
    <n v="37.853078480000001"/>
    <x v="0"/>
    <n v="18.037296919999999"/>
    <n v="61.931297440000002"/>
    <x v="221"/>
    <x v="2"/>
    <x v="1"/>
    <x v="2"/>
    <n v="20.90019717734128"/>
    <x v="0"/>
  </r>
  <r>
    <s v="User_171"/>
    <x v="3"/>
    <n v="85"/>
    <x v="0"/>
    <n v="127.75747440000001"/>
    <n v="0.98454922099999997"/>
    <n v="9.2864977"/>
    <x v="3"/>
    <n v="27.645445890000001"/>
    <n v="90.299922730000006"/>
    <x v="222"/>
    <x v="11"/>
    <x v="2"/>
    <x v="1"/>
    <n v="68.038910627919392"/>
    <x v="0"/>
  </r>
  <r>
    <s v="User_172"/>
    <x v="3"/>
    <n v="100"/>
    <x v="2"/>
    <n v="13.87716709"/>
    <n v="0.52129158799999997"/>
    <n v="9.9134190239999995"/>
    <x v="3"/>
    <n v="40.799355820000002"/>
    <n v="71.379036850000006"/>
    <x v="223"/>
    <x v="4"/>
    <x v="2"/>
    <x v="0"/>
    <n v="4.2435934321221342"/>
    <x v="2"/>
  </r>
  <r>
    <s v="User_174"/>
    <x v="0"/>
    <n v="100"/>
    <x v="1"/>
    <n v="47.824367850000002"/>
    <n v="2.0468743809999999"/>
    <n v="6.0827784869999997"/>
    <x v="3"/>
    <n v="61.578046909999998"/>
    <n v="97.961895229999996"/>
    <x v="224"/>
    <x v="0"/>
    <x v="1"/>
    <x v="1"/>
    <n v="17.400345458542844"/>
    <x v="1"/>
  </r>
  <r>
    <s v="User_175"/>
    <x v="0"/>
    <n v="50"/>
    <x v="0"/>
    <n v="71.142746360000004"/>
    <n v="1.7251361549999999"/>
    <n v="14.829910979999999"/>
    <x v="2"/>
    <n v="73.160174089999998"/>
    <n v="75.754846630000003"/>
    <x v="225"/>
    <x v="4"/>
    <x v="0"/>
    <x v="2"/>
    <n v="0.92296065200238653"/>
    <x v="3"/>
  </r>
  <r>
    <s v="User_176"/>
    <x v="4"/>
    <n v="85"/>
    <x v="2"/>
    <n v="6.0886320899999999"/>
    <n v="3.2849466139999999"/>
    <n v="4.868312092"/>
    <x v="3"/>
    <n v="14.45331142"/>
    <n v="61.790332419999999"/>
    <x v="226"/>
    <x v="0"/>
    <x v="0"/>
    <x v="0"/>
    <n v="2.4498504933976331"/>
    <x v="3"/>
  </r>
  <r>
    <s v="User_178"/>
    <x v="3"/>
    <n v="95.697780870000003"/>
    <x v="2"/>
    <n v="78.83314652"/>
    <n v="2.9215836620000002"/>
    <n v="8.4246446319999997"/>
    <x v="2"/>
    <n v="12.48227539"/>
    <n v="78.608593859999999"/>
    <x v="227"/>
    <x v="5"/>
    <x v="0"/>
    <x v="1"/>
    <n v="49.886734033613401"/>
    <x v="0"/>
  </r>
  <r>
    <s v="User_179"/>
    <x v="1"/>
    <n v="100"/>
    <x v="2"/>
    <n v="63.236516100000003"/>
    <n v="0.83584514200000004"/>
    <n v="5.2557999909999999"/>
    <x v="2"/>
    <n v="31.109190080000001"/>
    <n v="50.163546269999998"/>
    <x v="228"/>
    <x v="0"/>
    <x v="1"/>
    <x v="1"/>
    <n v="12.049311019840696"/>
    <x v="1"/>
  </r>
  <r>
    <s v="User_18"/>
    <x v="1"/>
    <n v="50"/>
    <x v="1"/>
    <n v="23.82404047"/>
    <n v="0.848218268"/>
    <n v="6.6142801249999996"/>
    <x v="0"/>
    <n v="57.59519512"/>
    <n v="74.961950349999995"/>
    <x v="229"/>
    <x v="9"/>
    <x v="2"/>
    <x v="1"/>
    <n v="2.0687313971605206"/>
    <x v="3"/>
  </r>
  <r>
    <s v="User_180"/>
    <x v="3"/>
    <n v="50"/>
    <x v="3"/>
    <n v="50.161380880000003"/>
    <n v="3.9844182639999999"/>
    <n v="29.087280549999999"/>
    <x v="3"/>
    <n v="62.133279659999999"/>
    <n v="95.396126870000003"/>
    <x v="230"/>
    <x v="2"/>
    <x v="0"/>
    <x v="1"/>
    <n v="8.3425517402702773"/>
    <x v="2"/>
  </r>
  <r>
    <s v="User_182"/>
    <x v="2"/>
    <n v="50"/>
    <x v="4"/>
    <n v="61.000322359999998"/>
    <n v="3.02652484"/>
    <n v="5.7204652600000001"/>
    <x v="1"/>
    <n v="44.945246930000003"/>
    <n v="66.195820060000003"/>
    <x v="231"/>
    <x v="9"/>
    <x v="2"/>
    <x v="1"/>
    <n v="6.4814590563237706"/>
    <x v="2"/>
  </r>
  <r>
    <s v="User_183"/>
    <x v="3"/>
    <n v="62"/>
    <x v="0"/>
    <n v="47.31460938"/>
    <n v="0.96897696899999997"/>
    <n v="10.163372949999999"/>
    <x v="2"/>
    <n v="40.487987969999999"/>
    <n v="98.823533639999994"/>
    <x v="232"/>
    <x v="4"/>
    <x v="1"/>
    <x v="1"/>
    <n v="17.112766049340241"/>
    <x v="1"/>
  </r>
  <r>
    <s v="User_186"/>
    <x v="0"/>
    <n v="50"/>
    <x v="3"/>
    <n v="10.64015216"/>
    <n v="3.0806034580000001"/>
    <n v="19.167160979999998"/>
    <x v="1"/>
    <n v="66.576069840000002"/>
    <n v="69.157657799999996"/>
    <x v="233"/>
    <x v="9"/>
    <x v="2"/>
    <x v="2"/>
    <n v="0.13734244354411959"/>
    <x v="3"/>
  </r>
  <r>
    <s v="User_188"/>
    <x v="3"/>
    <n v="85"/>
    <x v="1"/>
    <n v="36.15792622"/>
    <n v="3.1018270769999998"/>
    <n v="46.328098969999999"/>
    <x v="0"/>
    <n v="12.666303600000001"/>
    <n v="86.883277640000003"/>
    <x v="234"/>
    <x v="0"/>
    <x v="2"/>
    <x v="1"/>
    <n v="22.810020908684788"/>
    <x v="0"/>
  </r>
  <r>
    <s v="User_190"/>
    <x v="2"/>
    <n v="50"/>
    <x v="0"/>
    <n v="8.3495912279999995"/>
    <n v="2.3126750619999998"/>
    <n v="47.482189490000003"/>
    <x v="1"/>
    <n v="43.322051909999999"/>
    <n v="62.970687550000001"/>
    <x v="235"/>
    <x v="4"/>
    <x v="1"/>
    <x v="2"/>
    <n v="0.82029037890956091"/>
    <x v="3"/>
  </r>
  <r>
    <s v="User_193"/>
    <x v="0"/>
    <n v="85"/>
    <x v="1"/>
    <n v="55.979434699999999"/>
    <n v="1.106862483"/>
    <n v="13.79927221"/>
    <x v="0"/>
    <n v="2.3259589950000001"/>
    <n v="71.039021790000007"/>
    <x v="236"/>
    <x v="4"/>
    <x v="1"/>
    <x v="1"/>
    <n v="32.695406500042473"/>
    <x v="0"/>
  </r>
  <r>
    <s v="User_194"/>
    <x v="4"/>
    <n v="62"/>
    <x v="2"/>
    <n v="38.507737589999998"/>
    <n v="0.97647754099999995"/>
    <n v="15.809921559999999"/>
    <x v="1"/>
    <n v="37.913295609999999"/>
    <n v="57.536774170000001"/>
    <x v="237"/>
    <x v="8"/>
    <x v="0"/>
    <x v="0"/>
    <n v="4.6850657305471204"/>
    <x v="2"/>
  </r>
  <r>
    <s v="User_195"/>
    <x v="0"/>
    <n v="85"/>
    <x v="3"/>
    <n v="13.10581202"/>
    <n v="0.56906233500000003"/>
    <n v="14.554415349999999"/>
    <x v="3"/>
    <n v="12.04434277"/>
    <n v="91.069539239999997"/>
    <x v="238"/>
    <x v="2"/>
    <x v="0"/>
    <x v="1"/>
    <n v="8.8033596431247947"/>
    <x v="2"/>
  </r>
  <r>
    <s v="User_2"/>
    <x v="1"/>
    <n v="100"/>
    <x v="3"/>
    <n v="12.339275199999999"/>
    <n v="3.133652053"/>
    <n v="30.677734940000001"/>
    <x v="1"/>
    <n v="10.115777639999999"/>
    <n v="84.664343630000005"/>
    <x v="239"/>
    <x v="8"/>
    <x v="1"/>
    <x v="1"/>
    <n v="9.1987527151597046"/>
    <x v="2"/>
  </r>
  <r>
    <s v="User_20"/>
    <x v="0"/>
    <n v="50"/>
    <x v="4"/>
    <n v="48.482484309999997"/>
    <n v="2.5809253540000001"/>
    <n v="45.29143535"/>
    <x v="1"/>
    <n v="12.75487757"/>
    <n v="116.09565689999999"/>
    <x v="240"/>
    <x v="8"/>
    <x v="2"/>
    <x v="2"/>
    <n v="25.051088562249483"/>
    <x v="0"/>
  </r>
  <r>
    <s v="User_201"/>
    <x v="4"/>
    <n v="62"/>
    <x v="3"/>
    <n v="80.729419280000002"/>
    <n v="2.8771910940000001"/>
    <n v="36.782097810000003"/>
    <x v="3"/>
    <n v="70.515149649999998"/>
    <n v="92.974862549999997"/>
    <x v="241"/>
    <x v="7"/>
    <x v="1"/>
    <x v="1"/>
    <n v="11.241589393597653"/>
    <x v="1"/>
  </r>
  <r>
    <s v="User_202"/>
    <x v="2"/>
    <n v="85"/>
    <x v="2"/>
    <n v="53.58667286"/>
    <n v="3.4453846370000001"/>
    <n v="6.9275065680000001"/>
    <x v="2"/>
    <n v="58.073254630000001"/>
    <n v="92.265823979999993"/>
    <x v="242"/>
    <x v="27"/>
    <x v="1"/>
    <x v="1"/>
    <n v="15.574261238011154"/>
    <x v="1"/>
  </r>
  <r>
    <s v="User_205"/>
    <x v="0"/>
    <n v="100"/>
    <x v="1"/>
    <n v="17.854873420000001"/>
    <n v="2.505005631"/>
    <n v="48.384676919999997"/>
    <x v="0"/>
    <n v="43.820633669999999"/>
    <n v="58.454697850000002"/>
    <x v="243"/>
    <x v="28"/>
    <x v="2"/>
    <x v="1"/>
    <n v="2.6128936355405612"/>
    <x v="3"/>
  </r>
  <r>
    <s v="User_206"/>
    <x v="2"/>
    <n v="62"/>
    <x v="2"/>
    <n v="63.854256139999997"/>
    <n v="3.8873008640000002"/>
    <n v="37.228815539999999"/>
    <x v="1"/>
    <n v="17.582009710000001"/>
    <n v="74.049681969999995"/>
    <x v="244"/>
    <x v="29"/>
    <x v="1"/>
    <x v="0"/>
    <n v="22.355347490341593"/>
    <x v="0"/>
  </r>
  <r>
    <s v="User_208"/>
    <x v="2"/>
    <n v="85"/>
    <x v="3"/>
    <n v="62.24807114"/>
    <n v="3.4320856580000001"/>
    <n v="18.589472300000001"/>
    <x v="0"/>
    <n v="78.604696509999997"/>
    <n v="99.521584910000001"/>
    <x v="245"/>
    <x v="9"/>
    <x v="2"/>
    <x v="0"/>
    <n v="11.06730563578045"/>
    <x v="1"/>
  </r>
  <r>
    <s v="User_21"/>
    <x v="4"/>
    <n v="50"/>
    <x v="4"/>
    <n v="50.279066669999999"/>
    <n v="3.168872892"/>
    <n v="30.489960230000001"/>
    <x v="3"/>
    <n v="16.545512370000001"/>
    <n v="77.936327140000003"/>
    <x v="246"/>
    <x v="8"/>
    <x v="2"/>
    <x v="1"/>
    <n v="15.433364343732253"/>
    <x v="1"/>
  </r>
  <r>
    <s v="User_210"/>
    <x v="0"/>
    <n v="85"/>
    <x v="4"/>
    <n v="6.9618756739999998"/>
    <n v="2.4227759299999998"/>
    <n v="22.67276738"/>
    <x v="3"/>
    <n v="16.34081342"/>
    <n v="78.758467089999996"/>
    <x v="247"/>
    <x v="11"/>
    <x v="2"/>
    <x v="1"/>
    <n v="3.6936235300633031"/>
    <x v="2"/>
  </r>
  <r>
    <s v="User_211"/>
    <x v="2"/>
    <n v="85"/>
    <x v="0"/>
    <n v="75.186171810000005"/>
    <n v="3.6231846459999999"/>
    <n v="53.174782800000003"/>
    <x v="0"/>
    <n v="17.16005127"/>
    <n v="64.310187020000001"/>
    <x v="248"/>
    <x v="4"/>
    <x v="1"/>
    <x v="1"/>
    <n v="30.132824762596751"/>
    <x v="0"/>
  </r>
  <r>
    <s v="User_212"/>
    <x v="0"/>
    <n v="50"/>
    <x v="4"/>
    <n v="1.7545202339999999"/>
    <n v="0.79739443099999996"/>
    <n v="8.4307556550000005"/>
    <x v="0"/>
    <n v="27.11810685"/>
    <n v="78.969154189999998"/>
    <x v="249"/>
    <x v="0"/>
    <x v="1"/>
    <x v="1"/>
    <n v="0.45486855856060926"/>
    <x v="3"/>
  </r>
  <r>
    <s v="User_213"/>
    <x v="2"/>
    <n v="81.653182049999998"/>
    <x v="4"/>
    <n v="73.614335440000005"/>
    <n v="3.6653189180000001"/>
    <n v="3.855782923"/>
    <x v="0"/>
    <n v="46.807860640000001"/>
    <n v="86.595306289999996"/>
    <x v="250"/>
    <x v="2"/>
    <x v="0"/>
    <x v="0"/>
    <n v="23.915615813167314"/>
    <x v="0"/>
  </r>
  <r>
    <s v="User_215"/>
    <x v="2"/>
    <n v="62"/>
    <x v="4"/>
    <n v="51.161821979999999"/>
    <n v="1.2866745070000001"/>
    <n v="15.00297561"/>
    <x v="0"/>
    <n v="44.271627909999999"/>
    <n v="90.668474320000001"/>
    <x v="251"/>
    <x v="30"/>
    <x v="0"/>
    <x v="1"/>
    <n v="14.717232618063298"/>
    <x v="1"/>
  </r>
  <r>
    <s v="User_216"/>
    <x v="2"/>
    <n v="75"/>
    <x v="4"/>
    <n v="28.229691630000001"/>
    <n v="1.218689578"/>
    <n v="23.437410109999998"/>
    <x v="1"/>
    <n v="61.78774868"/>
    <n v="65.215967379999995"/>
    <x v="252"/>
    <x v="2"/>
    <x v="0"/>
    <x v="0"/>
    <n v="0.72583167555899508"/>
    <x v="3"/>
  </r>
  <r>
    <s v="User_217"/>
    <x v="0"/>
    <n v="62"/>
    <x v="1"/>
    <n v="67.922832249999999"/>
    <n v="3.704571949"/>
    <n v="41.743558800000002"/>
    <x v="3"/>
    <n v="63.582067680000002"/>
    <n v="89.937681139999995"/>
    <x v="253"/>
    <x v="4"/>
    <x v="0"/>
    <x v="2"/>
    <n v="11.098917053714414"/>
    <x v="1"/>
  </r>
  <r>
    <s v="User_219"/>
    <x v="3"/>
    <n v="85"/>
    <x v="1"/>
    <n v="50.643736599999997"/>
    <n v="2.2291425500000002"/>
    <n v="29.63368144"/>
    <x v="2"/>
    <n v="31.57069886"/>
    <n v="70.64832964"/>
    <x v="254"/>
    <x v="8"/>
    <x v="1"/>
    <x v="2"/>
    <n v="16.821816541482164"/>
    <x v="1"/>
  </r>
  <r>
    <s v="User_221"/>
    <x v="4"/>
    <n v="75"/>
    <x v="2"/>
    <n v="57.897998190000003"/>
    <n v="0.60556480000000001"/>
    <n v="15.380881329999999"/>
    <x v="3"/>
    <n v="58.602148970000002"/>
    <n v="77.231749370000003"/>
    <x v="255"/>
    <x v="2"/>
    <x v="1"/>
    <x v="2"/>
    <n v="8.0896242767971742"/>
    <x v="2"/>
  </r>
  <r>
    <s v="User_222"/>
    <x v="3"/>
    <n v="75"/>
    <x v="2"/>
    <n v="30.900798340000001"/>
    <n v="0.67087714700000001"/>
    <n v="40.564403929999997"/>
    <x v="3"/>
    <n v="24.834499310000002"/>
    <n v="61.279012360000003"/>
    <x v="256"/>
    <x v="7"/>
    <x v="1"/>
    <x v="1"/>
    <n v="8.4462341126816121"/>
    <x v="2"/>
  </r>
  <r>
    <s v="User_227"/>
    <x v="4"/>
    <n v="100"/>
    <x v="1"/>
    <n v="65.244755049999995"/>
    <n v="0.87865168199999999"/>
    <n v="46.9698183"/>
    <x v="0"/>
    <n v="27.08090945"/>
    <n v="55.747611120000002"/>
    <x v="257"/>
    <x v="7"/>
    <x v="2"/>
    <x v="0"/>
    <n v="18.703519285505756"/>
    <x v="1"/>
  </r>
  <r>
    <s v="User_228"/>
    <x v="4"/>
    <n v="50"/>
    <x v="0"/>
    <n v="20.464780940000001"/>
    <n v="3.64700851"/>
    <n v="18.59949061"/>
    <x v="1"/>
    <n v="18.134151710000001"/>
    <n v="56.114813320000003"/>
    <x v="258"/>
    <x v="2"/>
    <x v="1"/>
    <x v="1"/>
    <n v="3.886329599024589"/>
    <x v="2"/>
  </r>
  <r>
    <s v="User_229"/>
    <x v="2"/>
    <n v="27.03325783"/>
    <x v="2"/>
    <n v="49.186728299999999"/>
    <n v="1.912563148"/>
    <n v="32.363055160000002"/>
    <x v="2"/>
    <n v="64.421809519999996"/>
    <n v="99.603577520000002"/>
    <x v="259"/>
    <x v="4"/>
    <x v="2"/>
    <x v="0"/>
    <n v="4.678040559944673"/>
    <x v="2"/>
  </r>
  <r>
    <s v="User_23"/>
    <x v="0"/>
    <n v="75"/>
    <x v="1"/>
    <n v="49.196429590000001"/>
    <n v="2.5628173040000002"/>
    <n v="19.194882839999998"/>
    <x v="2"/>
    <n v="49.024239110000003"/>
    <n v="64.48187394"/>
    <x v="260"/>
    <x v="31"/>
    <x v="0"/>
    <x v="2"/>
    <n v="5.7034533265651985"/>
    <x v="2"/>
  </r>
  <r>
    <s v="User_230"/>
    <x v="0"/>
    <n v="85"/>
    <x v="3"/>
    <n v="32.64266714"/>
    <n v="0.56064090099999997"/>
    <n v="29.19908693"/>
    <x v="0"/>
    <n v="51.557809349999999"/>
    <n v="73.550945499999997"/>
    <x v="261"/>
    <x v="5"/>
    <x v="0"/>
    <x v="2"/>
    <n v="6.1022742930277847"/>
    <x v="2"/>
  </r>
  <r>
    <s v="User_232"/>
    <x v="3"/>
    <n v="62"/>
    <x v="1"/>
    <n v="33.36550879"/>
    <n v="0.61126202299999999"/>
    <n v="10.196946649999999"/>
    <x v="1"/>
    <n v="26.849323080000001"/>
    <n v="99.637563659999998"/>
    <x v="262"/>
    <x v="5"/>
    <x v="0"/>
    <x v="1"/>
    <n v="15.057423421459873"/>
    <x v="1"/>
  </r>
  <r>
    <s v="User_234"/>
    <x v="0"/>
    <n v="75"/>
    <x v="4"/>
    <n v="65.89172327"/>
    <n v="0.73893052999999997"/>
    <n v="36.493054960000002"/>
    <x v="2"/>
    <n v="18.871321859999998"/>
    <n v="65.017231409999994"/>
    <x v="263"/>
    <x v="4"/>
    <x v="2"/>
    <x v="0"/>
    <n v="22.804751265832873"/>
    <x v="0"/>
  </r>
  <r>
    <s v="User_236"/>
    <x v="4"/>
    <n v="75"/>
    <x v="2"/>
    <n v="12.669821069999999"/>
    <n v="2.8168235529999999"/>
    <n v="18.71829649"/>
    <x v="1"/>
    <n v="35.917354629999998"/>
    <n v="67.07789382"/>
    <x v="264"/>
    <x v="8"/>
    <x v="1"/>
    <x v="2"/>
    <n v="2.9609884198651706"/>
    <x v="3"/>
  </r>
  <r>
    <s v="User_24"/>
    <x v="3"/>
    <n v="100"/>
    <x v="2"/>
    <n v="68.447126319999995"/>
    <n v="2.0714292090000002"/>
    <n v="49.710306969999998"/>
    <x v="1"/>
    <n v="19.233139130000001"/>
    <n v="74.006150880000007"/>
    <x v="265"/>
    <x v="4"/>
    <x v="0"/>
    <x v="0"/>
    <n v="37.490552541790947"/>
    <x v="0"/>
  </r>
  <r>
    <s v="User_240"/>
    <x v="1"/>
    <n v="50"/>
    <x v="1"/>
    <n v="31.877190169999999"/>
    <n v="1.383940916"/>
    <n v="23.466355839999999"/>
    <x v="0"/>
    <n v="68.823683840000001"/>
    <n v="92.837124119999999"/>
    <x v="266"/>
    <x v="9"/>
    <x v="0"/>
    <x v="1"/>
    <n v="3.8274050122074899"/>
    <x v="2"/>
  </r>
  <r>
    <s v="User_241"/>
    <x v="2"/>
    <n v="50"/>
    <x v="3"/>
    <n v="29.582840439999998"/>
    <n v="3.2038717860000001"/>
    <n v="37.183765399999999"/>
    <x v="3"/>
    <n v="24.743941270000001"/>
    <n v="80.604378449999999"/>
    <x v="267"/>
    <x v="4"/>
    <x v="2"/>
    <x v="0"/>
    <n v="8.262552000022918"/>
    <x v="2"/>
  </r>
  <r>
    <s v="User_242"/>
    <x v="3"/>
    <n v="100"/>
    <x v="2"/>
    <n v="37.509777479999997"/>
    <n v="3.5180613260000002"/>
    <n v="6.3417812900000001"/>
    <x v="0"/>
    <n v="31.20433856"/>
    <n v="76.034504380000001"/>
    <x v="268"/>
    <x v="11"/>
    <x v="0"/>
    <x v="1"/>
    <n v="16.815695442997018"/>
    <x v="1"/>
  </r>
  <r>
    <s v="User_246"/>
    <x v="2"/>
    <n v="62"/>
    <x v="3"/>
    <n v="29.840622669999998"/>
    <n v="3.4738635759999998"/>
    <n v="14.0390994"/>
    <x v="2"/>
    <n v="17.262380830000001"/>
    <n v="53.656511989999998"/>
    <x v="269"/>
    <x v="2"/>
    <x v="2"/>
    <x v="0"/>
    <n v="6.7333459191579061"/>
    <x v="2"/>
  </r>
  <r>
    <s v="User_249"/>
    <x v="0"/>
    <n v="100"/>
    <x v="3"/>
    <n v="60.410103749999998"/>
    <n v="1.7089707009999999"/>
    <n v="48.788684660000001"/>
    <x v="0"/>
    <n v="77.006817850000004"/>
    <n v="82.530965219999999"/>
    <x v="270"/>
    <x v="0"/>
    <x v="0"/>
    <x v="1"/>
    <n v="3.3371431575198924"/>
    <x v="2"/>
  </r>
  <r>
    <s v="User_250"/>
    <x v="2"/>
    <n v="85"/>
    <x v="1"/>
    <n v="44.785489040000002"/>
    <n v="3.430646018"/>
    <n v="35.390405229999999"/>
    <x v="3"/>
    <n v="20.083042450000001"/>
    <n v="76.262955689999998"/>
    <x v="271"/>
    <x v="9"/>
    <x v="0"/>
    <x v="0"/>
    <n v="21.386381553764455"/>
    <x v="0"/>
  </r>
  <r>
    <s v="User_253"/>
    <x v="0"/>
    <n v="85"/>
    <x v="3"/>
    <n v="29.013966459999999"/>
    <n v="2.5254327760000002"/>
    <n v="43.009869739999999"/>
    <x v="0"/>
    <n v="70.247974380000002"/>
    <n v="92.498143909999996"/>
    <x v="272"/>
    <x v="8"/>
    <x v="1"/>
    <x v="1"/>
    <n v="5.4873082160182376"/>
    <x v="2"/>
  </r>
  <r>
    <s v="User_255"/>
    <x v="3"/>
    <n v="62"/>
    <x v="4"/>
    <n v="65.550921590000002"/>
    <n v="3.5756254859999999"/>
    <n v="12.163397209999999"/>
    <x v="3"/>
    <n v="47.910629870000001"/>
    <n v="97.306845890000005"/>
    <x v="273"/>
    <x v="8"/>
    <x v="1"/>
    <x v="1"/>
    <n v="20.075398395652279"/>
    <x v="0"/>
  </r>
  <r>
    <s v="User_256"/>
    <x v="2"/>
    <n v="50"/>
    <x v="3"/>
    <n v="76.579767649999994"/>
    <n v="0.62461829300000005"/>
    <n v="10.566450939999999"/>
    <x v="0"/>
    <n v="47.058938859999998"/>
    <n v="71.889862449999995"/>
    <x v="274"/>
    <x v="5"/>
    <x v="1"/>
    <x v="2"/>
    <n v="9.5077317952855172"/>
    <x v="2"/>
  </r>
  <r>
    <s v="User_261"/>
    <x v="4"/>
    <n v="50"/>
    <x v="4"/>
    <n v="49.621511660000003"/>
    <n v="3.731488455"/>
    <n v="28.549558650000002"/>
    <x v="3"/>
    <n v="43.909880489999999"/>
    <n v="98.388608099999999"/>
    <x v="275"/>
    <x v="9"/>
    <x v="2"/>
    <x v="0"/>
    <n v="13.516584086607896"/>
    <x v="1"/>
  </r>
  <r>
    <s v="User_267"/>
    <x v="0"/>
    <n v="85"/>
    <x v="2"/>
    <n v="56.821352470000001"/>
    <n v="0.86521314699999996"/>
    <n v="21.269704740000002"/>
    <x v="2"/>
    <n v="17.451240720000001"/>
    <n v="53.850174629999998"/>
    <x v="276"/>
    <x v="0"/>
    <x v="2"/>
    <x v="2"/>
    <n v="17.580011552474936"/>
    <x v="1"/>
  </r>
  <r>
    <s v="User_269"/>
    <x v="1"/>
    <n v="100"/>
    <x v="4"/>
    <n v="58.151062889999999"/>
    <n v="1.9862538999999999"/>
    <n v="34.965097139999997"/>
    <x v="2"/>
    <n v="17.460975829999999"/>
    <n v="82.131137749999994"/>
    <x v="277"/>
    <x v="2"/>
    <x v="0"/>
    <x v="1"/>
    <n v="37.606386529164027"/>
    <x v="0"/>
  </r>
  <r>
    <s v="User_270"/>
    <x v="0"/>
    <n v="10.189286770000001"/>
    <x v="2"/>
    <n v="63.59427153"/>
    <n v="3.3335554479999998"/>
    <n v="28.596306460000001"/>
    <x v="3"/>
    <n v="18.284235370000001"/>
    <n v="63.025122570000001"/>
    <x v="278"/>
    <x v="7"/>
    <x v="0"/>
    <x v="0"/>
    <n v="2.8991212147691305"/>
    <x v="3"/>
  </r>
  <r>
    <s v="User_273"/>
    <x v="3"/>
    <n v="75"/>
    <x v="4"/>
    <n v="70.244717179999995"/>
    <n v="3.3727385719999998"/>
    <n v="31.881822270000001"/>
    <x v="3"/>
    <n v="72.549295069999999"/>
    <n v="91.901780090000003"/>
    <x v="279"/>
    <x v="7"/>
    <x v="2"/>
    <x v="1"/>
    <n v="10.195573777200652"/>
    <x v="1"/>
  </r>
  <r>
    <s v="User_277"/>
    <x v="1"/>
    <n v="100"/>
    <x v="0"/>
    <n v="79.002259710000004"/>
    <n v="3.8931548710000001"/>
    <n v="26.977422860000001"/>
    <x v="3"/>
    <n v="22.53375157"/>
    <n v="93.297830099999999"/>
    <x v="280"/>
    <x v="8"/>
    <x v="2"/>
    <x v="0"/>
    <n v="55.905221101658952"/>
    <x v="0"/>
  </r>
  <r>
    <s v="User_278"/>
    <x v="2"/>
    <n v="78.383735360000003"/>
    <x v="2"/>
    <n v="19.916877719999999"/>
    <n v="2.805178781"/>
    <n v="32.21173099"/>
    <x v="3"/>
    <n v="43.909979470000003"/>
    <n v="80.058546430000007"/>
    <x v="281"/>
    <x v="2"/>
    <x v="1"/>
    <x v="1"/>
    <n v="5.6433670493647154"/>
    <x v="2"/>
  </r>
  <r>
    <s v="User_280"/>
    <x v="2"/>
    <n v="75"/>
    <x v="3"/>
    <n v="15.058971700000001"/>
    <n v="3.216985824"/>
    <n v="14.76789076"/>
    <x v="0"/>
    <n v="49.868120869999998"/>
    <n v="82.179642740000006"/>
    <x v="282"/>
    <x v="11"/>
    <x v="1"/>
    <x v="1"/>
    <n v="3.6493372006819595"/>
    <x v="2"/>
  </r>
  <r>
    <s v="User_281"/>
    <x v="4"/>
    <n v="62"/>
    <x v="1"/>
    <n v="12.132557800000001"/>
    <n v="2.674690075"/>
    <n v="40.196900339999999"/>
    <x v="1"/>
    <n v="32.071905350000002"/>
    <n v="77.491956060000007"/>
    <x v="283"/>
    <x v="2"/>
    <x v="1"/>
    <x v="1"/>
    <n v="3.4165806212116383"/>
    <x v="2"/>
  </r>
  <r>
    <s v="User_282"/>
    <x v="1"/>
    <n v="100"/>
    <x v="2"/>
    <n v="30.53308101"/>
    <n v="2.3000050339999998"/>
    <n v="19.021088750000001"/>
    <x v="1"/>
    <n v="52.910502860000001"/>
    <n v="67.218740819999994"/>
    <x v="284"/>
    <x v="9"/>
    <x v="1"/>
    <x v="2"/>
    <n v="4.3687458874303688"/>
    <x v="2"/>
  </r>
  <r>
    <s v="User_285"/>
    <x v="3"/>
    <n v="100"/>
    <x v="3"/>
    <n v="14.01882399"/>
    <n v="1.827241672"/>
    <n v="6.2910135880000002"/>
    <x v="2"/>
    <n v="58.996115879999998"/>
    <n v="90.813519869999993"/>
    <x v="285"/>
    <x v="32"/>
    <x v="2"/>
    <x v="0"/>
    <n v="4.4604258635453355"/>
    <x v="2"/>
  </r>
  <r>
    <s v="User_287"/>
    <x v="0"/>
    <n v="75"/>
    <x v="0"/>
    <n v="51.62169093"/>
    <n v="1.3035555809999999"/>
    <n v="43.16138737"/>
    <x v="2"/>
    <n v="22.787479040000001"/>
    <n v="58.662494389999999"/>
    <x v="286"/>
    <x v="2"/>
    <x v="1"/>
    <x v="1"/>
    <n v="13.889467158800292"/>
    <x v="1"/>
  </r>
  <r>
    <s v="User_288"/>
    <x v="1"/>
    <n v="100"/>
    <x v="3"/>
    <n v="13.31901732"/>
    <n v="0.891295897"/>
    <n v="21.63010654"/>
    <x v="2"/>
    <n v="81.559323590000005"/>
    <n v="177.70866649999999"/>
    <x v="287"/>
    <x v="2"/>
    <x v="2"/>
    <x v="1"/>
    <n v="12.80614763524909"/>
    <x v="1"/>
  </r>
  <r>
    <s v="User_292"/>
    <x v="3"/>
    <n v="75"/>
    <x v="0"/>
    <n v="32.524861049999998"/>
    <n v="2.2874965039999999"/>
    <n v="31.553156170000001"/>
    <x v="0"/>
    <n v="23.425767530000002"/>
    <n v="83.742620740000007"/>
    <x v="288"/>
    <x v="0"/>
    <x v="0"/>
    <x v="2"/>
    <n v="14.713479522213726"/>
    <x v="1"/>
  </r>
  <r>
    <s v="User_296"/>
    <x v="1"/>
    <n v="85"/>
    <x v="1"/>
    <n v="78.158789310000003"/>
    <n v="1.5481334950000001"/>
    <n v="7.3470290399999998"/>
    <x v="0"/>
    <n v="78.178785309999995"/>
    <n v="80.782494909999997"/>
    <x v="289"/>
    <x v="7"/>
    <x v="1"/>
    <x v="1"/>
    <n v="1.7297737154320085"/>
    <x v="3"/>
  </r>
  <r>
    <s v="User_297"/>
    <x v="1"/>
    <n v="75"/>
    <x v="1"/>
    <n v="5.3378360740000002"/>
    <n v="1.3473103319999999"/>
    <n v="29.154481709999999"/>
    <x v="2"/>
    <n v="16.35565442"/>
    <n v="88.043702600000003"/>
    <x v="290"/>
    <x v="33"/>
    <x v="1"/>
    <x v="0"/>
    <n v="2.869942872373906"/>
    <x v="3"/>
  </r>
  <r>
    <s v="User_298"/>
    <x v="2"/>
    <n v="75"/>
    <x v="1"/>
    <n v="29.318815539999999"/>
    <n v="2.0626726770000001"/>
    <n v="36.764269759999998"/>
    <x v="2"/>
    <n v="54.753180810000003"/>
    <n v="80.765271459999994"/>
    <x v="291"/>
    <x v="5"/>
    <x v="2"/>
    <x v="0"/>
    <n v="5.7198276568283131"/>
    <x v="2"/>
  </r>
  <r>
    <s v="User_3"/>
    <x v="2"/>
    <n v="75"/>
    <x v="3"/>
    <n v="19.128875699999998"/>
    <n v="2.4526527260000002"/>
    <n v="27.513592559999999"/>
    <x v="1"/>
    <n v="6.8546044439999996"/>
    <n v="69.917615240000003"/>
    <x v="292"/>
    <x v="0"/>
    <x v="2"/>
    <x v="0"/>
    <n v="9.0474337108833147"/>
    <x v="2"/>
  </r>
  <r>
    <s v="User_30"/>
    <x v="0"/>
    <n v="75"/>
    <x v="1"/>
    <n v="56.593256859999997"/>
    <n v="3.1532572550000002"/>
    <n v="45.811731000000002"/>
    <x v="2"/>
    <n v="29.207671699999999"/>
    <n v="85.008106240000004"/>
    <x v="293"/>
    <x v="5"/>
    <x v="0"/>
    <x v="1"/>
    <n v="23.68446243616377"/>
    <x v="0"/>
  </r>
  <r>
    <s v="User_300"/>
    <x v="3"/>
    <n v="100"/>
    <x v="4"/>
    <n v="5.6995199540000003"/>
    <n v="1.0866768979999999"/>
    <n v="40.48262896"/>
    <x v="2"/>
    <n v="54.544755369999997"/>
    <n v="81.030133879999994"/>
    <x v="294"/>
    <x v="8"/>
    <x v="2"/>
    <x v="0"/>
    <n v="1.5095394330698779"/>
    <x v="3"/>
  </r>
  <r>
    <s v="User_304"/>
    <x v="1"/>
    <n v="75"/>
    <x v="4"/>
    <n v="65.225452279999999"/>
    <n v="2.7599862069999999"/>
    <n v="18.069592329999999"/>
    <x v="0"/>
    <n v="45.506865980000001"/>
    <n v="83.407521610000003"/>
    <x v="295"/>
    <x v="5"/>
    <x v="0"/>
    <x v="1"/>
    <n v="18.540655538814587"/>
    <x v="1"/>
  </r>
  <r>
    <s v="User_305"/>
    <x v="2"/>
    <n v="100"/>
    <x v="0"/>
    <n v="23.54038392"/>
    <n v="2.5925972769999999"/>
    <n v="3.5081614870000002"/>
    <x v="0"/>
    <n v="17.17061425"/>
    <n v="39.319201669999998"/>
    <x v="296"/>
    <x v="7"/>
    <x v="2"/>
    <x v="1"/>
    <n v="5.2138625115248223"/>
    <x v="2"/>
  </r>
  <r>
    <s v="User_306"/>
    <x v="0"/>
    <n v="75"/>
    <x v="1"/>
    <n v="18.549702419999999"/>
    <n v="1.8288785409999999"/>
    <n v="13.855271549999999"/>
    <x v="3"/>
    <n v="37.871000889999998"/>
    <n v="66.165043749999995"/>
    <x v="297"/>
    <x v="2"/>
    <x v="0"/>
    <x v="1"/>
    <n v="3.936345564837942"/>
    <x v="2"/>
  </r>
  <r>
    <s v="User_307"/>
    <x v="3"/>
    <n v="33.377023569999999"/>
    <x v="1"/>
    <n v="20.763187640000002"/>
    <n v="2.6865649820000002"/>
    <n v="23.992849570000001"/>
    <x v="1"/>
    <n v="27.400426700000001"/>
    <n v="55.234005199999999"/>
    <x v="298"/>
    <x v="0"/>
    <x v="1"/>
    <x v="2"/>
    <n v="1.9289042960872416"/>
    <x v="3"/>
  </r>
  <r>
    <s v="User_308"/>
    <x v="0"/>
    <n v="85"/>
    <x v="0"/>
    <n v="46.454781150000002"/>
    <n v="3.9365705370000001"/>
    <n v="42.838482800000001"/>
    <x v="1"/>
    <n v="12.79308917"/>
    <n v="70.717972570000001"/>
    <x v="299"/>
    <x v="34"/>
    <x v="1"/>
    <x v="0"/>
    <n v="22.872546142633279"/>
    <x v="0"/>
  </r>
  <r>
    <s v="User_309"/>
    <x v="1"/>
    <n v="85"/>
    <x v="4"/>
    <n v="49.749341899999997"/>
    <n v="2.0082219750000001"/>
    <n v="33.702341199999999"/>
    <x v="3"/>
    <n v="62.63796602"/>
    <n v="87.470101589999999"/>
    <x v="300"/>
    <x v="5"/>
    <x v="0"/>
    <x v="2"/>
    <n v="10.500750421922191"/>
    <x v="1"/>
  </r>
  <r>
    <s v="User_310"/>
    <x v="1"/>
    <n v="100"/>
    <x v="0"/>
    <n v="66.174915560000002"/>
    <n v="1.590891399"/>
    <n v="4.0960525060000004"/>
    <x v="3"/>
    <n v="57.518557510000001"/>
    <n v="59.218344209999998"/>
    <x v="301"/>
    <x v="0"/>
    <x v="0"/>
    <x v="1"/>
    <n v="1.1248324134251086"/>
    <x v="3"/>
  </r>
  <r>
    <s v="User_314"/>
    <x v="3"/>
    <n v="62"/>
    <x v="2"/>
    <n v="6.8854794320000003"/>
    <n v="3.50020117"/>
    <n v="29.44664264"/>
    <x v="2"/>
    <n v="62.995019739999996"/>
    <n v="70.587476449999997"/>
    <x v="302"/>
    <x v="2"/>
    <x v="0"/>
    <x v="2"/>
    <n v="0.32412176799334347"/>
    <x v="3"/>
  </r>
  <r>
    <s v="User_317"/>
    <x v="2"/>
    <n v="85"/>
    <x v="4"/>
    <n v="37.771614579999998"/>
    <n v="4.6157822389999996"/>
    <n v="4.0346557159999996"/>
    <x v="0"/>
    <n v="52.132449289999997"/>
    <n v="93.211808500000004"/>
    <x v="303"/>
    <x v="2"/>
    <x v="0"/>
    <x v="1"/>
    <n v="13.188886647824694"/>
    <x v="1"/>
  </r>
  <r>
    <s v="User_318"/>
    <x v="4"/>
    <n v="75"/>
    <x v="1"/>
    <n v="44.065552750000002"/>
    <n v="0.73883189100000002"/>
    <n v="18.13617692"/>
    <x v="0"/>
    <n v="43.363196719999998"/>
    <n v="72.85514963"/>
    <x v="304"/>
    <x v="9"/>
    <x v="2"/>
    <x v="1"/>
    <n v="9.7468440499209095"/>
    <x v="2"/>
  </r>
  <r>
    <s v="User_322"/>
    <x v="4"/>
    <n v="100"/>
    <x v="4"/>
    <n v="62.319175549999997"/>
    <n v="2.9247352719999999"/>
    <n v="22.416305959999999"/>
    <x v="2"/>
    <n v="21.819886270000001"/>
    <n v="61.291067730000002"/>
    <x v="305"/>
    <x v="9"/>
    <x v="1"/>
    <x v="2"/>
    <n v="24.598114865716447"/>
    <x v="0"/>
  </r>
  <r>
    <s v="User_323"/>
    <x v="4"/>
    <n v="62"/>
    <x v="4"/>
    <n v="64.522431069999996"/>
    <n v="1.7249913299999999"/>
    <n v="39.247074570000002"/>
    <x v="1"/>
    <n v="31.488931189999999"/>
    <n v="66.304985029999997"/>
    <x v="306"/>
    <x v="9"/>
    <x v="2"/>
    <x v="0"/>
    <n v="13.927781890929012"/>
    <x v="1"/>
  </r>
  <r>
    <s v="User_324"/>
    <x v="3"/>
    <n v="100"/>
    <x v="3"/>
    <n v="52.996728879999999"/>
    <n v="3.5264988700000002"/>
    <n v="38.36925514"/>
    <x v="3"/>
    <n v="10.950912710000001"/>
    <n v="69.302388329999999"/>
    <x v="307"/>
    <x v="9"/>
    <x v="1"/>
    <x v="2"/>
    <n v="30.924373331810699"/>
    <x v="0"/>
  </r>
  <r>
    <s v="User_325"/>
    <x v="3"/>
    <n v="75"/>
    <x v="1"/>
    <n v="74.739387539999996"/>
    <n v="9.5314416999999999E-2"/>
    <n v="44.050484560000001"/>
    <x v="1"/>
    <n v="27.62289342"/>
    <n v="61.325182769999998"/>
    <x v="308"/>
    <x v="35"/>
    <x v="2"/>
    <x v="1"/>
    <n v="18.891663485361484"/>
    <x v="1"/>
  </r>
  <r>
    <s v="User_328"/>
    <x v="1"/>
    <n v="100"/>
    <x v="2"/>
    <n v="58.376154450000001"/>
    <n v="1.877522371"/>
    <n v="4.669667037"/>
    <x v="2"/>
    <n v="15.3591674"/>
    <n v="56.580277469999999"/>
    <x v="309"/>
    <x v="8"/>
    <x v="2"/>
    <x v="1"/>
    <n v="24.063298880467702"/>
    <x v="0"/>
  </r>
  <r>
    <s v="User_33"/>
    <x v="0"/>
    <n v="100"/>
    <x v="2"/>
    <n v="16.136238729999999"/>
    <n v="1.306927272"/>
    <n v="21.517815049999999"/>
    <x v="0"/>
    <n v="23.603991430000001"/>
    <n v="88.200072800000001"/>
    <x v="310"/>
    <x v="11"/>
    <x v="2"/>
    <x v="1"/>
    <n v="10.423377900088255"/>
    <x v="1"/>
  </r>
  <r>
    <s v="User_330"/>
    <x v="4"/>
    <n v="85"/>
    <x v="3"/>
    <n v="13.324611040000001"/>
    <n v="1.382019849"/>
    <n v="24.742847510000001"/>
    <x v="2"/>
    <n v="52.786246259999999"/>
    <n v="92.868571990000007"/>
    <x v="311"/>
    <x v="7"/>
    <x v="0"/>
    <x v="2"/>
    <n v="4.5396918994120901"/>
    <x v="2"/>
  </r>
  <r>
    <s v="User_331"/>
    <x v="2"/>
    <n v="85"/>
    <x v="0"/>
    <n v="14.50345514"/>
    <n v="2.240834005"/>
    <n v="37.659924879999998"/>
    <x v="1"/>
    <n v="51.142145960000001"/>
    <n v="99.986604209999996"/>
    <x v="312"/>
    <x v="8"/>
    <x v="2"/>
    <x v="0"/>
    <n v="6.0215139770650614"/>
    <x v="2"/>
  </r>
  <r>
    <s v="User_333"/>
    <x v="3"/>
    <n v="6.1688958439999997"/>
    <x v="1"/>
    <n v="50.596951310000001"/>
    <n v="3.4731728240000002"/>
    <n v="9.8600276480000009"/>
    <x v="3"/>
    <n v="29.942229309999998"/>
    <n v="73.758798650000003"/>
    <x v="313"/>
    <x v="0"/>
    <x v="2"/>
    <x v="2"/>
    <n v="1.3676348476035789"/>
    <x v="3"/>
  </r>
  <r>
    <s v="User_335"/>
    <x v="0"/>
    <n v="62"/>
    <x v="0"/>
    <n v="103.8126056"/>
    <n v="3.5254454690000001"/>
    <n v="16.591382670000002"/>
    <x v="3"/>
    <n v="52.796793270000002"/>
    <n v="89.351792110000005"/>
    <x v="314"/>
    <x v="36"/>
    <x v="2"/>
    <x v="1"/>
    <n v="23.528191999169344"/>
    <x v="0"/>
  </r>
  <r>
    <s v="User_338"/>
    <x v="0"/>
    <n v="62"/>
    <x v="0"/>
    <n v="62.192833460000003"/>
    <n v="0.55521036400000001"/>
    <n v="20.452512309999999"/>
    <x v="1"/>
    <n v="24.385245600000001"/>
    <n v="88.829729479999997"/>
    <x v="315"/>
    <x v="7"/>
    <x v="0"/>
    <x v="2"/>
    <n v="24.849507330859865"/>
    <x v="0"/>
  </r>
  <r>
    <s v="User_34"/>
    <x v="3"/>
    <n v="62"/>
    <x v="0"/>
    <n v="60.067085089999999"/>
    <n v="0.999100188"/>
    <n v="7.6515700469999999"/>
    <x v="2"/>
    <n v="22.881466629999998"/>
    <n v="51.434278679999998"/>
    <x v="316"/>
    <x v="11"/>
    <x v="2"/>
    <x v="1"/>
    <n v="10.633521983989988"/>
    <x v="1"/>
  </r>
  <r>
    <s v="User_341"/>
    <x v="3"/>
    <n v="100"/>
    <x v="4"/>
    <n v="5.7759197350000004"/>
    <n v="1.836456796"/>
    <n v="33.745379270000001"/>
    <x v="2"/>
    <n v="25.118016109999999"/>
    <n v="59.046540739999998"/>
    <x v="317"/>
    <x v="11"/>
    <x v="2"/>
    <x v="1"/>
    <n v="1.9596843498985057"/>
    <x v="3"/>
  </r>
  <r>
    <s v="User_344"/>
    <x v="0"/>
    <n v="50"/>
    <x v="2"/>
    <n v="56.693301499999997"/>
    <n v="2.3918523789999999"/>
    <n v="44.995222239999997"/>
    <x v="1"/>
    <n v="46.587762079999997"/>
    <n v="76.380495030000006"/>
    <x v="318"/>
    <x v="5"/>
    <x v="0"/>
    <x v="2"/>
    <n v="8.4452419582166733"/>
    <x v="2"/>
  </r>
  <r>
    <s v="User_345"/>
    <x v="4"/>
    <n v="85"/>
    <x v="0"/>
    <n v="40.161421850000004"/>
    <n v="2.5179738719999998"/>
    <n v="28.479962130000001"/>
    <x v="0"/>
    <n v="35.044534980000002"/>
    <n v="94.563591939999995"/>
    <x v="319"/>
    <x v="0"/>
    <x v="0"/>
    <x v="1"/>
    <n v="20.318144614820277"/>
    <x v="0"/>
  </r>
  <r>
    <s v="User_348"/>
    <x v="3"/>
    <n v="50"/>
    <x v="2"/>
    <n v="67.225151019999998"/>
    <n v="0.50460121700000005"/>
    <n v="37.236014359999999"/>
    <x v="1"/>
    <n v="38.02384077"/>
    <n v="94.367655499999998"/>
    <x v="320"/>
    <x v="9"/>
    <x v="0"/>
    <x v="0"/>
    <n v="18.938607271335751"/>
    <x v="1"/>
  </r>
  <r>
    <s v="User_35"/>
    <x v="2"/>
    <n v="75"/>
    <x v="0"/>
    <n v="57.724379460000002"/>
    <n v="1.873581597"/>
    <n v="4.485647105"/>
    <x v="2"/>
    <n v="41.872479640000002"/>
    <n v="79.647972769999996"/>
    <x v="321"/>
    <x v="37"/>
    <x v="0"/>
    <x v="2"/>
    <n v="16.354251747935571"/>
    <x v="1"/>
  </r>
  <r>
    <s v="User_350"/>
    <x v="1"/>
    <n v="50"/>
    <x v="2"/>
    <n v="76.718446689999993"/>
    <n v="3.774909321"/>
    <n v="44.137451089999999"/>
    <x v="3"/>
    <n v="10.896089229999999"/>
    <n v="69.959124799999998"/>
    <x v="322"/>
    <x v="5"/>
    <x v="1"/>
    <x v="1"/>
    <n v="22.656121728633089"/>
    <x v="0"/>
  </r>
  <r>
    <s v="User_351"/>
    <x v="4"/>
    <n v="62"/>
    <x v="1"/>
    <n v="60.969075889999999"/>
    <n v="2.4969601809999999"/>
    <n v="6.682750854"/>
    <x v="2"/>
    <n v="75.857252059999993"/>
    <n v="92.36496167"/>
    <x v="323"/>
    <x v="9"/>
    <x v="1"/>
    <x v="0"/>
    <n v="6.2400507598894706"/>
    <x v="2"/>
  </r>
  <r>
    <s v="User_352"/>
    <x v="4"/>
    <n v="62"/>
    <x v="1"/>
    <n v="48.324607749999998"/>
    <n v="2.311636671"/>
    <n v="19.59383734"/>
    <x v="2"/>
    <n v="27.014978039999999"/>
    <n v="55.86102941"/>
    <x v="324"/>
    <x v="0"/>
    <x v="0"/>
    <x v="0"/>
    <n v="8.642639529067921"/>
    <x v="2"/>
  </r>
  <r>
    <s v="User_353"/>
    <x v="3"/>
    <n v="62"/>
    <x v="4"/>
    <n v="65.540824729999997"/>
    <n v="1.160654673"/>
    <n v="31.8589977"/>
    <x v="0"/>
    <n v="25.20190341"/>
    <n v="96.763442049999995"/>
    <x v="325"/>
    <x v="9"/>
    <x v="2"/>
    <x v="0"/>
    <n v="29.079254020762846"/>
    <x v="0"/>
  </r>
  <r>
    <s v="User_355"/>
    <x v="4"/>
    <n v="85"/>
    <x v="2"/>
    <n v="67.437402570000003"/>
    <n v="1.8145610590000001"/>
    <n v="16.099348519999999"/>
    <x v="3"/>
    <n v="89.870790400000004"/>
    <n v="93.901375250000001"/>
    <x v="326"/>
    <x v="8"/>
    <x v="1"/>
    <x v="1"/>
    <n v="2.3104034715369393"/>
    <x v="3"/>
  </r>
  <r>
    <s v="User_357"/>
    <x v="0"/>
    <n v="100"/>
    <x v="0"/>
    <n v="30.805662000000002"/>
    <n v="1.037860072"/>
    <n v="18.979889350000001"/>
    <x v="3"/>
    <n v="60.727202749999996"/>
    <n v="61.20655137"/>
    <x v="327"/>
    <x v="4"/>
    <x v="2"/>
    <x v="1"/>
    <n v="0.14766651567886543"/>
    <x v="3"/>
  </r>
  <r>
    <s v="User_359"/>
    <x v="3"/>
    <n v="100"/>
    <x v="2"/>
    <n v="28.86406096"/>
    <n v="2.113671385"/>
    <n v="38.34408586"/>
    <x v="3"/>
    <n v="27.67853787"/>
    <n v="92.572720709999999"/>
    <x v="328"/>
    <x v="0"/>
    <x v="2"/>
    <x v="1"/>
    <n v="18.731096494431458"/>
    <x v="1"/>
  </r>
  <r>
    <s v="User_36"/>
    <x v="1"/>
    <n v="75"/>
    <x v="2"/>
    <n v="37.374516059999998"/>
    <n v="2.8916769840000001"/>
    <n v="18.865801959999999"/>
    <x v="0"/>
    <n v="24.49220858"/>
    <n v="73.380175730000005"/>
    <x v="329"/>
    <x v="7"/>
    <x v="1"/>
    <x v="0"/>
    <n v="13.703730850413208"/>
    <x v="1"/>
  </r>
  <r>
    <s v="User_360"/>
    <x v="1"/>
    <n v="75"/>
    <x v="4"/>
    <n v="33.370542030000003"/>
    <n v="2.4863752529999998"/>
    <n v="41.929168590000003"/>
    <x v="0"/>
    <n v="58.60908208"/>
    <n v="71.219560419999993"/>
    <x v="330"/>
    <x v="38"/>
    <x v="1"/>
    <x v="0"/>
    <n v="3.1561387309753082"/>
    <x v="2"/>
  </r>
  <r>
    <s v="User_361"/>
    <x v="0"/>
    <n v="77.608478050000002"/>
    <x v="0"/>
    <n v="73.090450770000004"/>
    <n v="1.7540479470000001"/>
    <n v="30.388803809999999"/>
    <x v="1"/>
    <n v="29.666501459999999"/>
    <n v="99.856850769999994"/>
    <x v="331"/>
    <x v="2"/>
    <x v="0"/>
    <x v="1"/>
    <n v="39.815044987932048"/>
    <x v="0"/>
  </r>
  <r>
    <s v="User_362"/>
    <x v="0"/>
    <n v="75"/>
    <x v="0"/>
    <n v="26.992344079999999"/>
    <n v="3.5489835260000002"/>
    <n v="46.581371179999998"/>
    <x v="1"/>
    <n v="23.69485787"/>
    <n v="56.105310209999999"/>
    <x v="332"/>
    <x v="11"/>
    <x v="2"/>
    <x v="0"/>
    <n v="6.5612556101229087"/>
    <x v="2"/>
  </r>
  <r>
    <s v="User_364"/>
    <x v="1"/>
    <n v="50"/>
    <x v="4"/>
    <n v="42.29018027"/>
    <n v="2.0122929950000001"/>
    <n v="37.806096359999998"/>
    <x v="2"/>
    <n v="81.102162039999996"/>
    <n v="92.833604600000001"/>
    <x v="333"/>
    <x v="39"/>
    <x v="1"/>
    <x v="1"/>
    <n v="2.4806241034477527"/>
    <x v="3"/>
  </r>
  <r>
    <s v="User_365"/>
    <x v="0"/>
    <n v="100"/>
    <x v="4"/>
    <n v="30.036118380000001"/>
    <n v="1.6434822520000001"/>
    <n v="13.372949050000001"/>
    <x v="2"/>
    <n v="14.364249190000001"/>
    <n v="80.385408369999993"/>
    <x v="334"/>
    <x v="9"/>
    <x v="0"/>
    <x v="0"/>
    <n v="19.830193527153039"/>
    <x v="1"/>
  </r>
  <r>
    <s v="User_366"/>
    <x v="1"/>
    <n v="62"/>
    <x v="2"/>
    <n v="10.386093779999999"/>
    <n v="1.2425644199999999"/>
    <n v="47.766494440000002"/>
    <x v="1"/>
    <n v="56.663663730000003"/>
    <n v="73.290282719999993"/>
    <x v="335"/>
    <x v="5"/>
    <x v="2"/>
    <x v="2"/>
    <n v="1.0706508692617063"/>
    <x v="3"/>
  </r>
  <r>
    <s v="User_367"/>
    <x v="0"/>
    <n v="50"/>
    <x v="2"/>
    <n v="45.71947918"/>
    <n v="2.8721617300000002"/>
    <n v="47.842556600000002"/>
    <x v="3"/>
    <n v="35.421950000000002"/>
    <n v="88.853549569999998"/>
    <x v="336"/>
    <x v="2"/>
    <x v="2"/>
    <x v="0"/>
    <n v="12.214324520473559"/>
    <x v="1"/>
  </r>
  <r>
    <s v="User_368"/>
    <x v="2"/>
    <n v="50"/>
    <x v="1"/>
    <n v="24.599629700000001"/>
    <n v="2.0078608679999999"/>
    <n v="11.82017579"/>
    <x v="2"/>
    <n v="51.188263079999999"/>
    <n v="63.465824759999997"/>
    <x v="337"/>
    <x v="11"/>
    <x v="2"/>
    <x v="0"/>
    <n v="1.5101173547345494"/>
    <x v="3"/>
  </r>
  <r>
    <s v="User_370"/>
    <x v="1"/>
    <n v="85"/>
    <x v="3"/>
    <n v="52.716412149999996"/>
    <n v="0.56281694000000004"/>
    <n v="6.4225565390000003"/>
    <x v="3"/>
    <n v="37.682102720000003"/>
    <n v="81.907228419999996"/>
    <x v="338"/>
    <x v="2"/>
    <x v="0"/>
    <x v="2"/>
    <n v="19.816814607187432"/>
    <x v="1"/>
  </r>
  <r>
    <s v="User_372"/>
    <x v="0"/>
    <n v="48.636931250000004"/>
    <x v="4"/>
    <n v="68.25299905"/>
    <n v="1.6319957439999999"/>
    <n v="29.208426800000002"/>
    <x v="2"/>
    <n v="85.902461959999997"/>
    <n v="91.278224469999998"/>
    <x v="339"/>
    <x v="5"/>
    <x v="2"/>
    <x v="2"/>
    <n v="1.7845469511124514"/>
    <x v="3"/>
  </r>
  <r>
    <s v="User_373"/>
    <x v="4"/>
    <n v="85"/>
    <x v="4"/>
    <n v="56.420229990000003"/>
    <n v="0.82887328400000004"/>
    <n v="25.402852410000001"/>
    <x v="2"/>
    <n v="32.612386569999998"/>
    <n v="65.160073569999994"/>
    <x v="340"/>
    <x v="7"/>
    <x v="1"/>
    <x v="2"/>
    <n v="15.608957882551531"/>
    <x v="1"/>
  </r>
  <r>
    <s v="User_374"/>
    <x v="2"/>
    <n v="75"/>
    <x v="0"/>
    <n v="52.904463669999998"/>
    <n v="1.546956035"/>
    <n v="15.57205559"/>
    <x v="3"/>
    <n v="89.838610700000004"/>
    <n v="97.495380470000001"/>
    <x v="341"/>
    <x v="8"/>
    <x v="2"/>
    <x v="2"/>
    <n v="3.0380797359488927"/>
    <x v="2"/>
  </r>
  <r>
    <s v="User_378"/>
    <x v="4"/>
    <n v="75"/>
    <x v="1"/>
    <n v="55.782977459999998"/>
    <n v="1.3767971560000001"/>
    <n v="46.333341900000001"/>
    <x v="3"/>
    <n v="29.614363229999999"/>
    <n v="88.378428119999995"/>
    <x v="342"/>
    <x v="7"/>
    <x v="1"/>
    <x v="0"/>
    <n v="24.585258804126354"/>
    <x v="0"/>
  </r>
  <r>
    <s v="User_379"/>
    <x v="4"/>
    <n v="85"/>
    <x v="4"/>
    <n v="16.673599459999998"/>
    <n v="1.809282616"/>
    <n v="32.994829590000002"/>
    <x v="0"/>
    <n v="77.485143370000003"/>
    <n v="88.665432139999993"/>
    <x v="343"/>
    <x v="9"/>
    <x v="0"/>
    <x v="2"/>
    <n v="1.5845330827839847"/>
    <x v="3"/>
  </r>
  <r>
    <s v="User_38"/>
    <x v="1"/>
    <n v="75"/>
    <x v="2"/>
    <n v="73.386619519999996"/>
    <n v="1.0404523050000001"/>
    <n v="38.450831899999997"/>
    <x v="3"/>
    <n v="49.275387530000003"/>
    <n v="94.597081900000006"/>
    <x v="344"/>
    <x v="9"/>
    <x v="0"/>
    <x v="2"/>
    <n v="24.945044555496874"/>
    <x v="0"/>
  </r>
  <r>
    <s v="User_380"/>
    <x v="1"/>
    <n v="100"/>
    <x v="2"/>
    <n v="13.28071233"/>
    <n v="1.761441322"/>
    <n v="59.148544889999997"/>
    <x v="2"/>
    <n v="76.558211900000003"/>
    <n v="81.582009499999998"/>
    <x v="345"/>
    <x v="4"/>
    <x v="1"/>
    <x v="2"/>
    <n v="0.66719610729744327"/>
    <x v="3"/>
  </r>
  <r>
    <s v="User_383"/>
    <x v="3"/>
    <n v="62"/>
    <x v="1"/>
    <n v="64.942857070000002"/>
    <n v="3.6367947009999999"/>
    <n v="49.319128849999998"/>
    <x v="3"/>
    <n v="49.301060489999998"/>
    <n v="73.243518530000003"/>
    <x v="346"/>
    <x v="7"/>
    <x v="1"/>
    <x v="2"/>
    <n v="9.6403281084563961"/>
    <x v="2"/>
  </r>
  <r>
    <s v="User_386"/>
    <x v="3"/>
    <n v="100"/>
    <x v="1"/>
    <n v="46.55965372"/>
    <n v="1.665756536"/>
    <n v="35.776000250000003"/>
    <x v="0"/>
    <n v="77.275881580000004"/>
    <n v="95.747231439999993"/>
    <x v="347"/>
    <x v="40"/>
    <x v="0"/>
    <x v="0"/>
    <n v="8.6001965322257004"/>
    <x v="2"/>
  </r>
  <r>
    <s v="User_387"/>
    <x v="4"/>
    <n v="50"/>
    <x v="0"/>
    <n v="54.884013359999997"/>
    <n v="1.886770506"/>
    <n v="6.9851368049999998"/>
    <x v="3"/>
    <n v="64.280418150000003"/>
    <n v="82.383896250000006"/>
    <x v="348"/>
    <x v="41"/>
    <x v="1"/>
    <x v="0"/>
    <n v="4.9679576695143375"/>
    <x v="2"/>
  </r>
  <r>
    <s v="User_388"/>
    <x v="4"/>
    <n v="50"/>
    <x v="1"/>
    <n v="13.72613374"/>
    <n v="6.1764165599999998"/>
    <n v="12.48400855"/>
    <x v="0"/>
    <n v="82.912582650000004"/>
    <n v="90.831076210000006"/>
    <x v="349"/>
    <x v="0"/>
    <x v="1"/>
    <x v="1"/>
    <n v="0.54345150811944376"/>
    <x v="3"/>
  </r>
  <r>
    <s v="User_390"/>
    <x v="4"/>
    <n v="50"/>
    <x v="1"/>
    <n v="20.581387679999999"/>
    <n v="1.536944426"/>
    <n v="37.026625750000001"/>
    <x v="0"/>
    <n v="22.54250841"/>
    <n v="84.672362039999996"/>
    <x v="350"/>
    <x v="0"/>
    <x v="0"/>
    <x v="1"/>
    <n v="6.3935930203034266"/>
    <x v="2"/>
  </r>
  <r>
    <s v="User_391"/>
    <x v="3"/>
    <n v="75"/>
    <x v="0"/>
    <n v="36.047577390000001"/>
    <n v="1.64577996"/>
    <n v="49.85189639"/>
    <x v="0"/>
    <n v="46.328425860000003"/>
    <n v="52.151709169999997"/>
    <x v="351"/>
    <x v="7"/>
    <x v="2"/>
    <x v="1"/>
    <n v="1.5743644183584009"/>
    <x v="3"/>
  </r>
  <r>
    <s v="User_393"/>
    <x v="1"/>
    <n v="85"/>
    <x v="0"/>
    <n v="64.538246970000003"/>
    <n v="3.9709998010000001"/>
    <n v="17.560160069999998"/>
    <x v="0"/>
    <n v="17.189637659999999"/>
    <n v="57.13538346"/>
    <x v="352"/>
    <x v="2"/>
    <x v="2"/>
    <x v="0"/>
    <n v="21.913241466650543"/>
    <x v="0"/>
  </r>
  <r>
    <s v="User_395"/>
    <x v="1"/>
    <n v="75"/>
    <x v="4"/>
    <n v="34.375669739999999"/>
    <n v="3.1457457070000001"/>
    <n v="3.806546848"/>
    <x v="2"/>
    <n v="41.111826450000002"/>
    <n v="63.026159870000001"/>
    <x v="353"/>
    <x v="9"/>
    <x v="0"/>
    <x v="2"/>
    <n v="5.6498991616362355"/>
    <x v="2"/>
  </r>
  <r>
    <s v="User_396"/>
    <x v="1"/>
    <n v="60.789280249999997"/>
    <x v="2"/>
    <n v="12.118093229999999"/>
    <n v="2.8544938430000002"/>
    <n v="7.9970383419999997"/>
    <x v="0"/>
    <n v="30.067188779999999"/>
    <n v="90.207051120000003"/>
    <x v="354"/>
    <x v="0"/>
    <x v="0"/>
    <x v="1"/>
    <n v="4.4302039543147664"/>
    <x v="2"/>
  </r>
  <r>
    <s v="User_398"/>
    <x v="2"/>
    <n v="50"/>
    <x v="4"/>
    <n v="26.402103950000001"/>
    <n v="0.95802234100000006"/>
    <n v="47.759053479999999"/>
    <x v="2"/>
    <n v="29.476011119999999"/>
    <n v="87.343235559999997"/>
    <x v="355"/>
    <x v="2"/>
    <x v="2"/>
    <x v="0"/>
    <n v="7.6390823748143033"/>
    <x v="2"/>
  </r>
  <r>
    <s v="User_4"/>
    <x v="1"/>
    <n v="50"/>
    <x v="0"/>
    <n v="79.457823989999994"/>
    <n v="1.2664308049999999"/>
    <n v="32.882869759999998"/>
    <x v="0"/>
    <n v="83.120002959999994"/>
    <n v="99.624327629999996"/>
    <x v="356"/>
    <x v="11"/>
    <x v="1"/>
    <x v="2"/>
    <n v="6.5569886235133739"/>
    <x v="2"/>
  </r>
  <r>
    <s v="User_400"/>
    <x v="4"/>
    <n v="75"/>
    <x v="0"/>
    <n v="69.449961479999999"/>
    <n v="1.0662067470000001"/>
    <n v="49.416732690000003"/>
    <x v="1"/>
    <n v="27.562481590000001"/>
    <n v="63.292276690000001"/>
    <x v="357"/>
    <x v="2"/>
    <x v="1"/>
    <x v="1"/>
    <n v="18.610746700374698"/>
    <x v="1"/>
  </r>
  <r>
    <s v="User_401"/>
    <x v="2"/>
    <n v="85"/>
    <x v="3"/>
    <n v="66.18914418"/>
    <n v="2.501463099"/>
    <n v="2.5352378619999998"/>
    <x v="0"/>
    <n v="88.31726132"/>
    <n v="103.0634524"/>
    <x v="358"/>
    <x v="11"/>
    <x v="0"/>
    <x v="2"/>
    <n v="8.2963210237495773"/>
    <x v="2"/>
  </r>
  <r>
    <s v="User_402"/>
    <x v="1"/>
    <n v="75"/>
    <x v="4"/>
    <n v="13.66384251"/>
    <n v="0.79913380499999997"/>
    <n v="14.330457020000001"/>
    <x v="1"/>
    <n v="62.24698008"/>
    <n v="82.888930349999995"/>
    <x v="359"/>
    <x v="8"/>
    <x v="1"/>
    <x v="1"/>
    <n v="2.1153626819139895"/>
    <x v="3"/>
  </r>
  <r>
    <s v="User_404"/>
    <x v="1"/>
    <n v="62"/>
    <x v="0"/>
    <n v="79.462311909999997"/>
    <n v="2.8953489860000001"/>
    <n v="25.412520170000001"/>
    <x v="0"/>
    <n v="28.461230839999999"/>
    <n v="49.096415380000003"/>
    <x v="360"/>
    <x v="8"/>
    <x v="0"/>
    <x v="2"/>
    <n v="10.166260715474918"/>
    <x v="1"/>
  </r>
  <r>
    <s v="User_405"/>
    <x v="0"/>
    <n v="50"/>
    <x v="2"/>
    <n v="26.61520204"/>
    <n v="1.317917504"/>
    <n v="22.743966619999998"/>
    <x v="2"/>
    <n v="59.931052659999999"/>
    <n v="69.521306429999996"/>
    <x v="361"/>
    <x v="4"/>
    <x v="1"/>
    <x v="2"/>
    <n v="1.2762327085171079"/>
    <x v="3"/>
  </r>
  <r>
    <s v="User_410"/>
    <x v="0"/>
    <n v="100"/>
    <x v="2"/>
    <n v="19.89879895"/>
    <n v="1.849672091"/>
    <n v="33.636050709999999"/>
    <x v="1"/>
    <n v="14.367222160000001"/>
    <n v="93.022536779999996"/>
    <x v="362"/>
    <x v="2"/>
    <x v="0"/>
    <x v="2"/>
    <n v="15.651462919723755"/>
    <x v="1"/>
  </r>
  <r>
    <s v="User_412"/>
    <x v="4"/>
    <n v="50"/>
    <x v="0"/>
    <n v="27.047103230000001"/>
    <n v="1.1096377230000001"/>
    <n v="4.5216315419999997"/>
    <x v="2"/>
    <n v="52.032965679999997"/>
    <n v="105.61692189999999"/>
    <x v="363"/>
    <x v="8"/>
    <x v="0"/>
    <x v="0"/>
    <n v="7.2464539767707024"/>
    <x v="2"/>
  </r>
  <r>
    <s v="User_413"/>
    <x v="1"/>
    <n v="50"/>
    <x v="1"/>
    <n v="30.184684239999999"/>
    <n v="2.9714279750000001"/>
    <n v="40.182460110000001"/>
    <x v="2"/>
    <n v="64.156635010000002"/>
    <n v="65.400544890000006"/>
    <x v="364"/>
    <x v="5"/>
    <x v="0"/>
    <x v="1"/>
    <n v="0.18773513475408204"/>
    <x v="3"/>
  </r>
  <r>
    <s v="User_414"/>
    <x v="0"/>
    <n v="85"/>
    <x v="3"/>
    <n v="15.342120680000001"/>
    <n v="3.3924522509999999"/>
    <n v="43.496849959999999"/>
    <x v="0"/>
    <n v="41.892727370000003"/>
    <n v="95.378297970000006"/>
    <x v="365"/>
    <x v="5"/>
    <x v="1"/>
    <x v="2"/>
    <n v="6.9749476696628099"/>
    <x v="2"/>
  </r>
  <r>
    <s v="User_416"/>
    <x v="1"/>
    <n v="50"/>
    <x v="4"/>
    <n v="60.260382999999997"/>
    <n v="3.030396836"/>
    <n v="31.222973140000001"/>
    <x v="0"/>
    <n v="51.191267349999997"/>
    <n v="66.230847089999997"/>
    <x v="366"/>
    <x v="2"/>
    <x v="2"/>
    <x v="0"/>
    <n v="4.5314541764572018"/>
    <x v="2"/>
  </r>
  <r>
    <s v="User_417"/>
    <x v="4"/>
    <n v="100"/>
    <x v="0"/>
    <n v="5.6501817379999997"/>
    <n v="0.63995145099999995"/>
    <n v="11.66743821"/>
    <x v="1"/>
    <n v="58.400457580000001"/>
    <n v="65.017991089999995"/>
    <x v="367"/>
    <x v="9"/>
    <x v="0"/>
    <x v="1"/>
    <n v="0.37390266988805004"/>
    <x v="3"/>
  </r>
  <r>
    <s v="User_42"/>
    <x v="3"/>
    <n v="100"/>
    <x v="0"/>
    <n v="39.39874236"/>
    <n v="2.3977153609999999"/>
    <n v="20.460364869999999"/>
    <x v="1"/>
    <n v="28.25229826"/>
    <n v="96.287092240000007"/>
    <x v="368"/>
    <x v="42"/>
    <x v="2"/>
    <x v="0"/>
    <n v="26.804853195336992"/>
    <x v="0"/>
  </r>
  <r>
    <s v="User_420"/>
    <x v="0"/>
    <n v="85"/>
    <x v="1"/>
    <n v="41.578915119999998"/>
    <n v="1.0769985929999999"/>
    <n v="35.418106000000002"/>
    <x v="3"/>
    <n v="45.885527830000001"/>
    <n v="90.42239601"/>
    <x v="369"/>
    <x v="5"/>
    <x v="0"/>
    <x v="1"/>
    <n v="15.740254625018215"/>
    <x v="1"/>
  </r>
  <r>
    <s v="User_422"/>
    <x v="0"/>
    <n v="85"/>
    <x v="4"/>
    <n v="29.697898460000001"/>
    <n v="3.9196356379999999"/>
    <n v="32.303102260000003"/>
    <x v="2"/>
    <n v="42.992300540000002"/>
    <n v="50.440450370000001"/>
    <x v="370"/>
    <x v="7"/>
    <x v="2"/>
    <x v="2"/>
    <n v="1.8801523776127531"/>
    <x v="3"/>
  </r>
  <r>
    <s v="User_423"/>
    <x v="4"/>
    <n v="69.445045609999994"/>
    <x v="0"/>
    <n v="72.715748529999999"/>
    <n v="0.68213243199999996"/>
    <n v="32.253432119999999"/>
    <x v="2"/>
    <n v="28.898519619999998"/>
    <n v="57.735344089999998"/>
    <x v="371"/>
    <x v="0"/>
    <x v="0"/>
    <x v="0"/>
    <n v="14.561871034021687"/>
    <x v="1"/>
  </r>
  <r>
    <s v="User_426"/>
    <x v="4"/>
    <n v="100"/>
    <x v="4"/>
    <n v="78.955061020000002"/>
    <n v="3.7965626760000002"/>
    <n v="41.307566639999997"/>
    <x v="3"/>
    <n v="50.089449389999999"/>
    <n v="74.789621159999996"/>
    <x v="372"/>
    <x v="9"/>
    <x v="2"/>
    <x v="0"/>
    <n v="19.502035693048313"/>
    <x v="1"/>
  </r>
  <r>
    <s v="User_428"/>
    <x v="1"/>
    <n v="85"/>
    <x v="4"/>
    <n v="37.287018760000002"/>
    <n v="1.904718015"/>
    <n v="29.148826230000001"/>
    <x v="1"/>
    <n v="29.08564192"/>
    <n v="78.129844309999996"/>
    <x v="373"/>
    <x v="0"/>
    <x v="2"/>
    <x v="2"/>
    <n v="15.544052803973919"/>
    <x v="1"/>
  </r>
  <r>
    <s v="User_43"/>
    <x v="0"/>
    <n v="85"/>
    <x v="0"/>
    <n v="12.049319710000001"/>
    <n v="1.373881358"/>
    <n v="29.468944359999998"/>
    <x v="3"/>
    <n v="36.636852159999997"/>
    <n v="66.976104320000005"/>
    <x v="374"/>
    <x v="7"/>
    <x v="1"/>
    <x v="0"/>
    <n v="3.1073224668242596"/>
    <x v="2"/>
  </r>
  <r>
    <s v="User_430"/>
    <x v="0"/>
    <n v="62"/>
    <x v="2"/>
    <n v="65.751333349999996"/>
    <n v="0.87624522999999999"/>
    <n v="42.514132549999999"/>
    <x v="0"/>
    <n v="18.320679120000001"/>
    <n v="81.153569770000004"/>
    <x v="375"/>
    <x v="11"/>
    <x v="2"/>
    <x v="0"/>
    <n v="25.614347298527942"/>
    <x v="0"/>
  </r>
  <r>
    <s v="User_432"/>
    <x v="3"/>
    <n v="62"/>
    <x v="0"/>
    <n v="33.39817876"/>
    <n v="2.455006976"/>
    <n v="14.42092922"/>
    <x v="1"/>
    <n v="23.34413923"/>
    <n v="68.139301149999994"/>
    <x v="376"/>
    <x v="0"/>
    <x v="0"/>
    <x v="2"/>
    <n v="9.2756763174012899"/>
    <x v="2"/>
  </r>
  <r>
    <s v="User_433"/>
    <x v="0"/>
    <n v="62"/>
    <x v="3"/>
    <n v="46.511770259999999"/>
    <n v="2.809346621"/>
    <n v="10.481223829999999"/>
    <x v="0"/>
    <n v="70.981361800000002"/>
    <n v="94.377765049999994"/>
    <x v="377"/>
    <x v="4"/>
    <x v="2"/>
    <x v="1"/>
    <n v="6.7468904238207639"/>
    <x v="2"/>
  </r>
  <r>
    <s v="User_434"/>
    <x v="2"/>
    <n v="50"/>
    <x v="0"/>
    <n v="74.540484860000007"/>
    <n v="3.591079873"/>
    <n v="16.935868939999999"/>
    <x v="0"/>
    <n v="51.814911289999998"/>
    <n v="76.07639193"/>
    <x v="378"/>
    <x v="0"/>
    <x v="2"/>
    <x v="1"/>
    <n v="9.0423126516355179"/>
    <x v="2"/>
  </r>
  <r>
    <s v="User_435"/>
    <x v="0"/>
    <n v="100"/>
    <x v="3"/>
    <n v="53.838272060000001"/>
    <n v="0.94819298500000004"/>
    <n v="25.605977790000001"/>
    <x v="1"/>
    <n v="65.220428749999996"/>
    <n v="88.658948910000007"/>
    <x v="379"/>
    <x v="4"/>
    <x v="2"/>
    <x v="0"/>
    <n v="12.618894250578753"/>
    <x v="1"/>
  </r>
  <r>
    <s v="User_438"/>
    <x v="2"/>
    <n v="100"/>
    <x v="0"/>
    <n v="76.499319869999994"/>
    <n v="3.0077145220000001"/>
    <n v="37.445510980000002"/>
    <x v="0"/>
    <n v="24.87475156"/>
    <n v="58.710101680000001"/>
    <x v="380"/>
    <x v="0"/>
    <x v="2"/>
    <x v="0"/>
    <n v="25.88381271743323"/>
    <x v="0"/>
  </r>
  <r>
    <s v="User_439"/>
    <x v="0"/>
    <n v="62"/>
    <x v="3"/>
    <n v="5.6148740850000003"/>
    <n v="2.459601546"/>
    <n v="18.561165290000002"/>
    <x v="2"/>
    <n v="42.526832800000001"/>
    <n v="64.397468480000001"/>
    <x v="381"/>
    <x v="2"/>
    <x v="0"/>
    <x v="2"/>
    <n v="0.76136536611307182"/>
    <x v="3"/>
  </r>
  <r>
    <s v="User_44"/>
    <x v="4"/>
    <n v="48.796482640000001"/>
    <x v="3"/>
    <n v="77.053606380000005"/>
    <n v="3.0302026849999999"/>
    <n v="8.3880395379999992"/>
    <x v="2"/>
    <n v="15.144122469999999"/>
    <n v="84.342326869999994"/>
    <x v="382"/>
    <x v="11"/>
    <x v="0"/>
    <x v="1"/>
    <n v="26.018144029493651"/>
    <x v="0"/>
  </r>
  <r>
    <s v="User_444"/>
    <x v="2"/>
    <n v="100"/>
    <x v="1"/>
    <n v="49.545546569999999"/>
    <n v="0.67493950300000005"/>
    <n v="27.00766346"/>
    <x v="0"/>
    <n v="48.444748339999997"/>
    <n v="92.496965540000005"/>
    <x v="383"/>
    <x v="2"/>
    <x v="0"/>
    <x v="2"/>
    <n v="21.825911787943554"/>
    <x v="0"/>
  </r>
  <r>
    <s v="User_449"/>
    <x v="3"/>
    <n v="107.4319545"/>
    <x v="4"/>
    <n v="5.7464448089999998"/>
    <n v="0.58102955999999994"/>
    <n v="7.0076377369999996"/>
    <x v="0"/>
    <n v="60.711311190000004"/>
    <n v="67.303864480000001"/>
    <x v="384"/>
    <x v="8"/>
    <x v="2"/>
    <x v="0"/>
    <n v="0.40699246220956892"/>
    <x v="3"/>
  </r>
  <r>
    <s v="User_450"/>
    <x v="4"/>
    <n v="62"/>
    <x v="4"/>
    <n v="9.7370396120000002"/>
    <n v="3.0703071749999999"/>
    <n v="3.645282259"/>
    <x v="1"/>
    <n v="75.78098421"/>
    <n v="97.163359439999994"/>
    <x v="385"/>
    <x v="7"/>
    <x v="1"/>
    <x v="1"/>
    <n v="1.2908464146015768"/>
    <x v="3"/>
  </r>
  <r>
    <s v="User_452"/>
    <x v="0"/>
    <n v="85"/>
    <x v="0"/>
    <n v="63.830608750000003"/>
    <n v="2.4586525199999998"/>
    <n v="38.139069470000003"/>
    <x v="0"/>
    <n v="11.08354591"/>
    <n v="74.405279590000006"/>
    <x v="386"/>
    <x v="43"/>
    <x v="2"/>
    <x v="1"/>
    <n v="34.355850867148114"/>
    <x v="0"/>
  </r>
  <r>
    <s v="User_453"/>
    <x v="1"/>
    <n v="85"/>
    <x v="1"/>
    <n v="72.948024759999996"/>
    <n v="3.7579528440000001"/>
    <n v="14.790119300000001"/>
    <x v="1"/>
    <n v="38.584757549999999"/>
    <n v="78.143000369999996"/>
    <x v="387"/>
    <x v="0"/>
    <x v="2"/>
    <x v="1"/>
    <n v="24.528413251911342"/>
    <x v="0"/>
  </r>
  <r>
    <s v="User_456"/>
    <x v="4"/>
    <n v="62"/>
    <x v="0"/>
    <n v="65.183927690000004"/>
    <n v="2.4083371119999999"/>
    <n v="38.577705330000001"/>
    <x v="3"/>
    <n v="17.729717560000001"/>
    <n v="82.791361699999996"/>
    <x v="388"/>
    <x v="11"/>
    <x v="1"/>
    <x v="0"/>
    <n v="26.294035743488489"/>
    <x v="0"/>
  </r>
  <r>
    <s v="User_457"/>
    <x v="1"/>
    <n v="85"/>
    <x v="3"/>
    <n v="72.549956309999999"/>
    <n v="0.359917241"/>
    <n v="35.112702579999997"/>
    <x v="1"/>
    <n v="61.848832710000003"/>
    <n v="64.367868540000003"/>
    <x v="389"/>
    <x v="5"/>
    <x v="0"/>
    <x v="0"/>
    <n v="1.5534254849835087"/>
    <x v="3"/>
  </r>
  <r>
    <s v="User_458"/>
    <x v="2"/>
    <n v="100"/>
    <x v="4"/>
    <n v="57.556900059999997"/>
    <n v="3.34150378"/>
    <n v="13.03628314"/>
    <x v="2"/>
    <n v="55.284332489999997"/>
    <n v="93.583738780000004"/>
    <x v="390"/>
    <x v="0"/>
    <x v="1"/>
    <x v="1"/>
    <n v="22.04395100190866"/>
    <x v="0"/>
  </r>
  <r>
    <s v="User_460"/>
    <x v="2"/>
    <n v="75"/>
    <x v="0"/>
    <n v="21.030519649999999"/>
    <n v="2.8444166860000002"/>
    <n v="8.3329925179999993"/>
    <x v="3"/>
    <n v="16.00498511"/>
    <n v="70.409891599999995"/>
    <x v="391"/>
    <x v="44"/>
    <x v="0"/>
    <x v="0"/>
    <n v="8.5812259124576791"/>
    <x v="2"/>
  </r>
  <r>
    <s v="User_461"/>
    <x v="3"/>
    <n v="62"/>
    <x v="1"/>
    <n v="16.4721403"/>
    <n v="1.771715317"/>
    <n v="22.11445681"/>
    <x v="1"/>
    <n v="90.699399690000007"/>
    <n v="91.817802360000002"/>
    <x v="392"/>
    <x v="5"/>
    <x v="2"/>
    <x v="0"/>
    <n v="0.11421941129123397"/>
    <x v="3"/>
  </r>
  <r>
    <s v="User_462"/>
    <x v="4"/>
    <n v="50"/>
    <x v="4"/>
    <n v="78.306878130000001"/>
    <n v="2.40015746"/>
    <n v="11.811002500000001"/>
    <x v="2"/>
    <n v="18.936489779999999"/>
    <n v="51.586668080000003"/>
    <x v="393"/>
    <x v="11"/>
    <x v="2"/>
    <x v="0"/>
    <n v="12.783667665304357"/>
    <x v="1"/>
  </r>
  <r>
    <s v="User_463"/>
    <x v="1"/>
    <n v="85"/>
    <x v="2"/>
    <n v="38.599659099999997"/>
    <n v="3.911414722"/>
    <n v="31.47135995"/>
    <x v="0"/>
    <n v="52.90034739"/>
    <n v="72.175994020000005"/>
    <x v="394"/>
    <x v="9"/>
    <x v="0"/>
    <x v="0"/>
    <n v="6.3242838052255435"/>
    <x v="2"/>
  </r>
  <r>
    <s v="User_464"/>
    <x v="4"/>
    <n v="85"/>
    <x v="2"/>
    <n v="26.566509230000001"/>
    <n v="1.065556256"/>
    <n v="43.375916429999997"/>
    <x v="2"/>
    <n v="13.354201359999999"/>
    <n v="65.432623840000005"/>
    <x v="395"/>
    <x v="2"/>
    <x v="1"/>
    <x v="1"/>
    <n v="11.760106077739458"/>
    <x v="1"/>
  </r>
  <r>
    <s v="User_465"/>
    <x v="4"/>
    <n v="100"/>
    <x v="3"/>
    <n v="23.02231536"/>
    <n v="2.6456373979999999"/>
    <n v="6.9990328220000002"/>
    <x v="0"/>
    <n v="62.420900979999999"/>
    <n v="91.383258350000006"/>
    <x v="396"/>
    <x v="9"/>
    <x v="0"/>
    <x v="0"/>
    <n v="6.6678052494116038"/>
    <x v="2"/>
  </r>
  <r>
    <s v="User_469"/>
    <x v="3"/>
    <n v="39.297422529999999"/>
    <x v="0"/>
    <n v="21.002230099999998"/>
    <n v="1.863435975"/>
    <n v="26.232722880000001"/>
    <x v="3"/>
    <n v="32.275559199999996"/>
    <n v="58.868338540000003"/>
    <x v="397"/>
    <x v="2"/>
    <x v="2"/>
    <x v="0"/>
    <n v="2.1947911921634211"/>
    <x v="3"/>
  </r>
  <r>
    <s v="User_47"/>
    <x v="4"/>
    <n v="75"/>
    <x v="3"/>
    <n v="67.475466139999995"/>
    <n v="2.1051170789999998"/>
    <n v="49.600799649999999"/>
    <x v="3"/>
    <n v="63.035941870000002"/>
    <n v="81.750953499999994"/>
    <x v="398"/>
    <x v="4"/>
    <x v="1"/>
    <x v="0"/>
    <n v="9.4710310016232793"/>
    <x v="2"/>
  </r>
  <r>
    <s v="User_471"/>
    <x v="4"/>
    <n v="129.5241594"/>
    <x v="3"/>
    <n v="65.450878290000006"/>
    <n v="3.9192599590000001"/>
    <n v="47.443519170000002"/>
    <x v="0"/>
    <n v="17.565958899999998"/>
    <n v="99.940817260000003"/>
    <x v="399"/>
    <x v="5"/>
    <x v="0"/>
    <x v="2"/>
    <n v="69.833038988366397"/>
    <x v="0"/>
  </r>
  <r>
    <s v="User_472"/>
    <x v="1"/>
    <n v="85"/>
    <x v="3"/>
    <n v="46.923339149999997"/>
    <n v="2.2193357159999998"/>
    <n v="38.701990530000003"/>
    <x v="3"/>
    <n v="48.056001700000003"/>
    <n v="81.160683910000003"/>
    <x v="400"/>
    <x v="9"/>
    <x v="2"/>
    <x v="1"/>
    <n v="13.203748961738814"/>
    <x v="1"/>
  </r>
  <r>
    <s v="User_477"/>
    <x v="0"/>
    <n v="50"/>
    <x v="4"/>
    <n v="65.898611799999998"/>
    <n v="2.1551991560000001"/>
    <n v="39.459358760000001"/>
    <x v="1"/>
    <n v="73.79002998"/>
    <n v="95.288628889999998"/>
    <x v="401"/>
    <x v="8"/>
    <x v="2"/>
    <x v="0"/>
    <n v="7.0836391190699644"/>
    <x v="2"/>
  </r>
  <r>
    <s v="User_48"/>
    <x v="1"/>
    <n v="62"/>
    <x v="1"/>
    <n v="30.710934030000001"/>
    <n v="1.633668608"/>
    <n v="6.3526614449999999"/>
    <x v="1"/>
    <n v="76.12005336"/>
    <n v="76.682430909999994"/>
    <x v="402"/>
    <x v="5"/>
    <x v="2"/>
    <x v="0"/>
    <n v="0.10708106699561756"/>
    <x v="3"/>
  </r>
  <r>
    <s v="User_483"/>
    <x v="4"/>
    <n v="75"/>
    <x v="0"/>
    <n v="41.950574770000003"/>
    <n v="1.0209988139999999"/>
    <n v="39.257004700000003"/>
    <x v="0"/>
    <n v="89.078101820000001"/>
    <n v="96.163841989999995"/>
    <x v="403"/>
    <x v="2"/>
    <x v="0"/>
    <x v="0"/>
    <n v="2.2293815460178292"/>
    <x v="3"/>
  </r>
  <r>
    <s v="User_485"/>
    <x v="3"/>
    <n v="75"/>
    <x v="2"/>
    <n v="21.40957637"/>
    <n v="2.6887474060000001"/>
    <n v="24.625701060000001"/>
    <x v="1"/>
    <n v="33.347001880000001"/>
    <n v="84.366885080000003"/>
    <x v="404"/>
    <x v="2"/>
    <x v="1"/>
    <x v="0"/>
    <n v="8.1923556431915987"/>
    <x v="2"/>
  </r>
  <r>
    <s v="User_486"/>
    <x v="2"/>
    <n v="100"/>
    <x v="4"/>
    <n v="54.996003989999998"/>
    <n v="1.246249685"/>
    <n v="23.093104579999999"/>
    <x v="1"/>
    <n v="57.084327100000003"/>
    <n v="88.929400419999993"/>
    <x v="405"/>
    <x v="2"/>
    <x v="0"/>
    <x v="1"/>
    <n v="17.513517793685619"/>
    <x v="1"/>
  </r>
  <r>
    <s v="User_490"/>
    <x v="4"/>
    <n v="100"/>
    <x v="1"/>
    <n v="27.611631150000001"/>
    <n v="2.1747180099999999"/>
    <n v="41.064082810000002"/>
    <x v="0"/>
    <n v="27.55212637"/>
    <n v="68.849434830000007"/>
    <x v="406"/>
    <x v="9"/>
    <x v="1"/>
    <x v="1"/>
    <n v="11.40286048685295"/>
    <x v="1"/>
  </r>
  <r>
    <s v="User_492"/>
    <x v="1"/>
    <n v="85"/>
    <x v="0"/>
    <n v="45.068533299999999"/>
    <n v="1.712579576"/>
    <n v="41.03311514"/>
    <x v="3"/>
    <n v="51.661939089999997"/>
    <n v="92.057761830000004"/>
    <x v="407"/>
    <x v="9"/>
    <x v="1"/>
    <x v="2"/>
    <n v="15.474934099877997"/>
    <x v="1"/>
  </r>
  <r>
    <s v="User_493"/>
    <x v="0"/>
    <n v="100"/>
    <x v="2"/>
    <n v="10.155212819999999"/>
    <n v="1.5201044619999999"/>
    <n v="41.180461600000001"/>
    <x v="1"/>
    <n v="28.835198380000001"/>
    <n v="76.296843749999994"/>
    <x v="408"/>
    <x v="11"/>
    <x v="2"/>
    <x v="0"/>
    <n v="4.8198310951971752"/>
    <x v="2"/>
  </r>
  <r>
    <s v="User_494"/>
    <x v="3"/>
    <n v="75"/>
    <x v="4"/>
    <n v="54.997705430000003"/>
    <n v="3.4786292849999998"/>
    <n v="34.584572369999997"/>
    <x v="1"/>
    <n v="42.698074259999999"/>
    <n v="60.690920570000003"/>
    <x v="409"/>
    <x v="11"/>
    <x v="0"/>
    <x v="0"/>
    <n v="7.4217394590348205"/>
    <x v="2"/>
  </r>
  <r>
    <s v="User_495"/>
    <x v="1"/>
    <n v="75"/>
    <x v="0"/>
    <n v="64.870474740000006"/>
    <n v="3.2339089620000001"/>
    <n v="38.988169370000001"/>
    <x v="3"/>
    <n v="26.650711789999999"/>
    <n v="56.364770700000001"/>
    <x v="410"/>
    <x v="7"/>
    <x v="1"/>
    <x v="1"/>
    <n v="14.456738309580203"/>
    <x v="1"/>
  </r>
  <r>
    <s v="User_496"/>
    <x v="3"/>
    <n v="50"/>
    <x v="0"/>
    <n v="25.132335529999999"/>
    <n v="1.8998602570000001"/>
    <n v="16.20549351"/>
    <x v="3"/>
    <n v="25.684348119999999"/>
    <n v="94.528636710000001"/>
    <x v="411"/>
    <x v="7"/>
    <x v="1"/>
    <x v="0"/>
    <n v="8.651088800840153"/>
    <x v="2"/>
  </r>
  <r>
    <s v="User_497"/>
    <x v="2"/>
    <n v="100"/>
    <x v="1"/>
    <n v="14.46271926"/>
    <n v="3.400121468"/>
    <n v="44.040354299999997"/>
    <x v="2"/>
    <n v="14.15177929"/>
    <n v="64.607192609999998"/>
    <x v="412"/>
    <x v="0"/>
    <x v="1"/>
    <x v="2"/>
    <n v="7.2972247799442451"/>
    <x v="2"/>
  </r>
  <r>
    <s v="User_499"/>
    <x v="3"/>
    <n v="75"/>
    <x v="3"/>
    <n v="44.418453049999997"/>
    <n v="2.3443707300000001"/>
    <n v="19.663022519999998"/>
    <x v="0"/>
    <n v="22.977128530000002"/>
    <n v="94.856389579999998"/>
    <x v="413"/>
    <x v="0"/>
    <x v="1"/>
    <x v="2"/>
    <n v="23.945741866635885"/>
    <x v="0"/>
  </r>
  <r>
    <s v="User_50"/>
    <x v="0"/>
    <n v="100"/>
    <x v="2"/>
    <n v="8.7131905760000006"/>
    <n v="2.209542823"/>
    <n v="49.275345590000001"/>
    <x v="2"/>
    <n v="27.196196010000001"/>
    <n v="86.893917639999998"/>
    <x v="414"/>
    <x v="9"/>
    <x v="2"/>
    <x v="2"/>
    <n v="5.2015762551518741"/>
    <x v="2"/>
  </r>
  <r>
    <s v="User_500"/>
    <x v="3"/>
    <n v="104.9172008"/>
    <x v="2"/>
    <n v="74.020427659999996"/>
    <n v="2.6860483579999999"/>
    <n v="31.703436020000002"/>
    <x v="0"/>
    <n v="37.010278169999999"/>
    <n v="80.972905030000007"/>
    <x v="415"/>
    <x v="4"/>
    <x v="0"/>
    <x v="2"/>
    <n v="34.141446676676317"/>
    <x v="0"/>
  </r>
  <r>
    <s v="User_501"/>
    <x v="0"/>
    <n v="85"/>
    <x v="3"/>
    <n v="36.50542214"/>
    <n v="2.2555252750000001"/>
    <n v="11.40879037"/>
    <x v="1"/>
    <n v="70.625919519999997"/>
    <n v="79.489649990000004"/>
    <x v="416"/>
    <x v="4"/>
    <x v="2"/>
    <x v="2"/>
    <n v="2.7503808916115129"/>
    <x v="3"/>
  </r>
  <r>
    <s v="User_502"/>
    <x v="3"/>
    <n v="50"/>
    <x v="4"/>
    <n v="39.067086789999998"/>
    <n v="3.8695920510000001"/>
    <n v="16.674739850000002"/>
    <x v="3"/>
    <n v="76.150305619999997"/>
    <n v="88.858988819999993"/>
    <x v="417"/>
    <x v="4"/>
    <x v="1"/>
    <x v="2"/>
    <n v="2.4824561478050735"/>
    <x v="3"/>
  </r>
  <r>
    <s v="User_503"/>
    <x v="1"/>
    <n v="50"/>
    <x v="4"/>
    <n v="63.79396887"/>
    <n v="0.78072697700000004"/>
    <n v="25.337742949999999"/>
    <x v="2"/>
    <n v="35.173745820000001"/>
    <n v="92.897126589999999"/>
    <x v="418"/>
    <x v="0"/>
    <x v="2"/>
    <x v="0"/>
    <n v="18.412017779562682"/>
    <x v="1"/>
  </r>
  <r>
    <s v="User_504"/>
    <x v="2"/>
    <n v="85"/>
    <x v="0"/>
    <n v="67.451241769999996"/>
    <n v="0.84960211299999999"/>
    <n v="45.019222839999998"/>
    <x v="0"/>
    <n v="36.067742430000003"/>
    <n v="61.527334009999997"/>
    <x v="419"/>
    <x v="5"/>
    <x v="0"/>
    <x v="1"/>
    <n v="14.596889069738307"/>
    <x v="1"/>
  </r>
  <r>
    <s v="User_505"/>
    <x v="2"/>
    <n v="62"/>
    <x v="4"/>
    <n v="56.888516000000003"/>
    <n v="3.0028546860000001"/>
    <n v="4.8661822450000001"/>
    <x v="2"/>
    <n v="24.393135730000001"/>
    <n v="64.470876169999997"/>
    <x v="420"/>
    <x v="7"/>
    <x v="2"/>
    <x v="0"/>
    <n v="14.13577170524168"/>
    <x v="1"/>
  </r>
  <r>
    <s v="User_507"/>
    <x v="0"/>
    <n v="62"/>
    <x v="2"/>
    <n v="47.012892170000001"/>
    <n v="1.666889947"/>
    <n v="32.351760749999997"/>
    <x v="0"/>
    <n v="27.334576089999999"/>
    <n v="82.108199440000007"/>
    <x v="421"/>
    <x v="9"/>
    <x v="2"/>
    <x v="0"/>
    <n v="15.965411979545218"/>
    <x v="1"/>
  </r>
  <r>
    <s v="User_508"/>
    <x v="0"/>
    <n v="75"/>
    <x v="4"/>
    <n v="73.619745249999994"/>
    <n v="3.512410977"/>
    <n v="25.2762721"/>
    <x v="1"/>
    <n v="36.214381920000001"/>
    <n v="85.98415765"/>
    <x v="422"/>
    <x v="0"/>
    <x v="2"/>
    <x v="1"/>
    <n v="27.480286577941744"/>
    <x v="0"/>
  </r>
  <r>
    <s v="User_51"/>
    <x v="0"/>
    <n v="85"/>
    <x v="3"/>
    <n v="9.0658808149999999"/>
    <n v="0.51237818300000004"/>
    <n v="40.178001989999999"/>
    <x v="1"/>
    <n v="13.87385811"/>
    <n v="93.628423060000003"/>
    <x v="423"/>
    <x v="45"/>
    <x v="0"/>
    <x v="1"/>
    <n v="6.1458857324554508"/>
    <x v="2"/>
  </r>
  <r>
    <s v="User_511"/>
    <x v="2"/>
    <n v="50"/>
    <x v="4"/>
    <n v="37.162926149999997"/>
    <n v="2.5098001499999998"/>
    <n v="16.713570470000001"/>
    <x v="2"/>
    <n v="43.852129400000003"/>
    <n v="85.039590050000001"/>
    <x v="424"/>
    <x v="2"/>
    <x v="2"/>
    <x v="0"/>
    <n v="7.6532327922099048"/>
    <x v="2"/>
  </r>
  <r>
    <s v="User_512"/>
    <x v="0"/>
    <n v="75"/>
    <x v="2"/>
    <n v="34.661002099999997"/>
    <n v="3.1763189430000001"/>
    <n v="20.93942019"/>
    <x v="1"/>
    <n v="27.062953440000001"/>
    <n v="96.573292929999994"/>
    <x v="425"/>
    <x v="0"/>
    <x v="0"/>
    <x v="0"/>
    <n v="18.069735172759518"/>
    <x v="1"/>
  </r>
  <r>
    <s v="User_515"/>
    <x v="0"/>
    <n v="62"/>
    <x v="4"/>
    <n v="29.379323249999999"/>
    <n v="3.7133896860000002"/>
    <n v="9.761640088"/>
    <x v="3"/>
    <n v="53.306406199999998"/>
    <n v="57.516417529999998"/>
    <x v="426"/>
    <x v="2"/>
    <x v="0"/>
    <x v="0"/>
    <n v="0.76686115925144105"/>
    <x v="3"/>
  </r>
  <r>
    <s v="User_518"/>
    <x v="1"/>
    <n v="62"/>
    <x v="1"/>
    <n v="16.08097433"/>
    <n v="3.2688994139999998"/>
    <n v="36.728131410000003"/>
    <x v="2"/>
    <n v="12.68873922"/>
    <n v="82.085073550000004"/>
    <x v="427"/>
    <x v="5"/>
    <x v="0"/>
    <x v="1"/>
    <n v="6.9189561599323328"/>
    <x v="2"/>
  </r>
  <r>
    <s v="User_519"/>
    <x v="1"/>
    <n v="75"/>
    <x v="4"/>
    <n v="7.5575674030000002"/>
    <n v="1.500672016"/>
    <n v="43.233906519999998"/>
    <x v="3"/>
    <n v="17.754276040000001"/>
    <n v="99.071404020000003"/>
    <x v="428"/>
    <x v="8"/>
    <x v="1"/>
    <x v="0"/>
    <n v="4.6091975679542054"/>
    <x v="2"/>
  </r>
  <r>
    <s v="User_521"/>
    <x v="0"/>
    <n v="85"/>
    <x v="0"/>
    <n v="60.123722870000002"/>
    <n v="2.9690144350000001"/>
    <n v="30.659343809999999"/>
    <x v="3"/>
    <n v="30.09851055"/>
    <n v="86.757939899999997"/>
    <x v="429"/>
    <x v="9"/>
    <x v="0"/>
    <x v="2"/>
    <n v="28.955894539799825"/>
    <x v="0"/>
  </r>
  <r>
    <s v="User_522"/>
    <x v="3"/>
    <n v="85"/>
    <x v="4"/>
    <n v="67.939425720000003"/>
    <n v="1.2230618929999999"/>
    <n v="17.899664300000001"/>
    <x v="2"/>
    <n v="46.180880809999998"/>
    <n v="57.467665539999999"/>
    <x v="430"/>
    <x v="8"/>
    <x v="2"/>
    <x v="2"/>
    <n v="6.5179502186424543"/>
    <x v="2"/>
  </r>
  <r>
    <s v="User_526"/>
    <x v="0"/>
    <n v="100"/>
    <x v="3"/>
    <n v="20.45364202"/>
    <n v="0.91979064399999999"/>
    <n v="26.504642659999998"/>
    <x v="0"/>
    <n v="57.960786349999999"/>
    <n v="73.661186810000004"/>
    <x v="431"/>
    <x v="11"/>
    <x v="0"/>
    <x v="0"/>
    <n v="3.2113037057948346"/>
    <x v="2"/>
  </r>
  <r>
    <s v="User_527"/>
    <x v="1"/>
    <n v="100"/>
    <x v="4"/>
    <n v="9.7169466839999998"/>
    <n v="2.3680969329999999"/>
    <n v="43.55543394"/>
    <x v="2"/>
    <n v="17.340151030000001"/>
    <n v="75.079750000000004"/>
    <x v="432"/>
    <x v="7"/>
    <x v="2"/>
    <x v="2"/>
    <n v="5.6105260474703131"/>
    <x v="2"/>
  </r>
  <r>
    <s v="User_528"/>
    <x v="3"/>
    <n v="62"/>
    <x v="2"/>
    <n v="61.684343220000002"/>
    <n v="0.67430098999999999"/>
    <n v="13.412801610000001"/>
    <x v="3"/>
    <n v="86.668045039999996"/>
    <n v="87.83956714"/>
    <x v="433"/>
    <x v="9"/>
    <x v="1"/>
    <x v="0"/>
    <n v="0.4480403420985356"/>
    <x v="3"/>
  </r>
  <r>
    <s v="User_529"/>
    <x v="1"/>
    <n v="62"/>
    <x v="0"/>
    <n v="28.578878079999999"/>
    <n v="0.97727978800000004"/>
    <n v="18.890509260000002"/>
    <x v="2"/>
    <n v="25.487878219999999"/>
    <n v="91.466119500000005"/>
    <x v="434"/>
    <x v="8"/>
    <x v="0"/>
    <x v="2"/>
    <n v="11.690621503538448"/>
    <x v="1"/>
  </r>
  <r>
    <s v="User_531"/>
    <x v="4"/>
    <n v="85"/>
    <x v="2"/>
    <n v="46.766044260000001"/>
    <n v="0.897608293"/>
    <n v="1.4725491390000001"/>
    <x v="1"/>
    <n v="18.361941730000002"/>
    <n v="58.129527789999997"/>
    <x v="435"/>
    <x v="2"/>
    <x v="0"/>
    <x v="0"/>
    <n v="15.808067863260213"/>
    <x v="1"/>
  </r>
  <r>
    <s v="User_532"/>
    <x v="4"/>
    <n v="87.488623869999998"/>
    <x v="4"/>
    <n v="17.759774549999999"/>
    <n v="2.7152626249999998"/>
    <n v="42.822405099999997"/>
    <x v="1"/>
    <n v="17.018773150000001"/>
    <n v="77.27513132"/>
    <x v="436"/>
    <x v="5"/>
    <x v="0"/>
    <x v="1"/>
    <n v="9.3625017882326524"/>
    <x v="2"/>
  </r>
  <r>
    <s v="User_534"/>
    <x v="1"/>
    <n v="100"/>
    <x v="3"/>
    <n v="21.069157579999999"/>
    <n v="3.7240547290000001"/>
    <n v="28.50901498"/>
    <x v="3"/>
    <n v="37.966771989999998"/>
    <n v="66.651863199999994"/>
    <x v="437"/>
    <x v="2"/>
    <x v="1"/>
    <x v="0"/>
    <n v="6.0437070690016279"/>
    <x v="2"/>
  </r>
  <r>
    <s v="User_537"/>
    <x v="2"/>
    <n v="85"/>
    <x v="4"/>
    <n v="44.870056179999999"/>
    <n v="1.5873397709999999"/>
    <n v="41.419459029999999"/>
    <x v="0"/>
    <n v="39.495552940000003"/>
    <n v="81.209076469999999"/>
    <x v="438"/>
    <x v="8"/>
    <x v="1"/>
    <x v="0"/>
    <n v="15.90934922618324"/>
    <x v="1"/>
  </r>
  <r>
    <s v="User_538"/>
    <x v="2"/>
    <n v="62"/>
    <x v="2"/>
    <n v="46.211718009999998"/>
    <n v="3.4131659920000001"/>
    <n v="48.972887659999998"/>
    <x v="1"/>
    <n v="28.232040600000001"/>
    <n v="72.283748930000002"/>
    <x v="439"/>
    <x v="7"/>
    <x v="2"/>
    <x v="1"/>
    <n v="12.621371763869313"/>
    <x v="1"/>
  </r>
  <r>
    <s v="User_540"/>
    <x v="0"/>
    <n v="62"/>
    <x v="4"/>
    <n v="57.038403969999997"/>
    <n v="2.1878805730000002"/>
    <n v="43.967390639999998"/>
    <x v="0"/>
    <n v="65.233131270000001"/>
    <n v="89.089269560000005"/>
    <x v="440"/>
    <x v="4"/>
    <x v="0"/>
    <x v="1"/>
    <n v="8.4364395282850708"/>
    <x v="2"/>
  </r>
  <r>
    <s v="User_543"/>
    <x v="4"/>
    <n v="51.112913919999997"/>
    <x v="4"/>
    <n v="33.013974820000001"/>
    <n v="2.6616678349999998"/>
    <n v="31.903997530000002"/>
    <x v="3"/>
    <n v="51.939978510000003"/>
    <n v="68.814308760000003"/>
    <x v="441"/>
    <x v="5"/>
    <x v="2"/>
    <x v="2"/>
    <n v="2.8474427483354079"/>
    <x v="3"/>
  </r>
  <r>
    <s v="User_545"/>
    <x v="3"/>
    <n v="50"/>
    <x v="3"/>
    <n v="53.173973820000001"/>
    <n v="0.62653431199999998"/>
    <n v="19.149193199999999"/>
    <x v="2"/>
    <n v="40.519600799999999"/>
    <n v="70.547023359999997"/>
    <x v="442"/>
    <x v="0"/>
    <x v="0"/>
    <x v="2"/>
    <n v="7.9833869054375874"/>
    <x v="2"/>
  </r>
  <r>
    <s v="User_549"/>
    <x v="3"/>
    <n v="85"/>
    <x v="3"/>
    <n v="56.727623180000002"/>
    <n v="2.0140099280000001"/>
    <n v="11.926340209999999"/>
    <x v="3"/>
    <n v="37.88224306"/>
    <n v="62.637588620000002"/>
    <x v="443"/>
    <x v="9"/>
    <x v="2"/>
    <x v="2"/>
    <n v="11.936651274256114"/>
    <x v="1"/>
  </r>
  <r>
    <s v="User_55"/>
    <x v="2"/>
    <n v="100"/>
    <x v="0"/>
    <n v="17.769436410000001"/>
    <n v="3.3140797630000001"/>
    <n v="34.458241940000001"/>
    <x v="0"/>
    <n v="27.697492489999998"/>
    <n v="70.510267249999998"/>
    <x v="444"/>
    <x v="7"/>
    <x v="0"/>
    <x v="1"/>
    <n v="7.6075887863347296"/>
    <x v="2"/>
  </r>
  <r>
    <s v="User_550"/>
    <x v="4"/>
    <n v="75"/>
    <x v="3"/>
    <n v="44.90995547"/>
    <n v="0.89394077599999999"/>
    <n v="16.74923596"/>
    <x v="3"/>
    <n v="32.675379159999999"/>
    <n v="97.144439800000001"/>
    <x v="445"/>
    <x v="9"/>
    <x v="2"/>
    <x v="1"/>
    <n v="21.714769819013476"/>
    <x v="0"/>
  </r>
  <r>
    <s v="User_551"/>
    <x v="2"/>
    <n v="85"/>
    <x v="4"/>
    <n v="13.8765576"/>
    <n v="2.164520934"/>
    <n v="46.75927145"/>
    <x v="3"/>
    <n v="68.864928309999996"/>
    <n v="76.928415229999999"/>
    <x v="446"/>
    <x v="2"/>
    <x v="0"/>
    <x v="2"/>
    <n v="0.95109424596892633"/>
    <x v="3"/>
  </r>
  <r>
    <s v="User_552"/>
    <x v="4"/>
    <n v="62"/>
    <x v="2"/>
    <n v="39.371241230000003"/>
    <n v="1.4113755480000001"/>
    <n v="26.03760746"/>
    <x v="1"/>
    <n v="85.474803420000001"/>
    <n v="86.872673579999997"/>
    <x v="447"/>
    <x v="4"/>
    <x v="0"/>
    <x v="2"/>
    <n v="0.34122247632098712"/>
    <x v="3"/>
  </r>
  <r>
    <s v="User_554"/>
    <x v="1"/>
    <n v="100"/>
    <x v="1"/>
    <n v="49.897788409999997"/>
    <n v="2.4015061649999998"/>
    <n v="44.047481179999998"/>
    <x v="1"/>
    <n v="56.776136360000002"/>
    <n v="72.152275380000006"/>
    <x v="448"/>
    <x v="0"/>
    <x v="0"/>
    <x v="1"/>
    <n v="7.672353313827049"/>
    <x v="2"/>
  </r>
  <r>
    <s v="User_555"/>
    <x v="1"/>
    <n v="85"/>
    <x v="0"/>
    <n v="64.609831610000001"/>
    <n v="1.226894334"/>
    <n v="3.9913595509999999"/>
    <x v="1"/>
    <n v="21.982870370000001"/>
    <n v="72.939843620000005"/>
    <x v="449"/>
    <x v="7"/>
    <x v="1"/>
    <x v="2"/>
    <n v="27.984732418821086"/>
    <x v="0"/>
  </r>
  <r>
    <s v="User_556"/>
    <x v="1"/>
    <n v="50"/>
    <x v="3"/>
    <n v="12.59488857"/>
    <n v="3.4204799600000002"/>
    <n v="13.286811650000001"/>
    <x v="2"/>
    <n v="70.246676769999993"/>
    <n v="87.171804589999994"/>
    <x v="450"/>
    <x v="0"/>
    <x v="0"/>
    <x v="2"/>
    <n v="1.0658504946295351"/>
    <x v="3"/>
  </r>
  <r>
    <s v="User_559"/>
    <x v="3"/>
    <n v="85"/>
    <x v="1"/>
    <n v="48.96111526"/>
    <n v="2.9675701220000001"/>
    <n v="28.599515190000002"/>
    <x v="0"/>
    <n v="68.686463110000005"/>
    <n v="85.614719379999997"/>
    <x v="451"/>
    <x v="7"/>
    <x v="2"/>
    <x v="1"/>
    <n v="7.0450236042834424"/>
    <x v="2"/>
  </r>
  <r>
    <s v="User_56"/>
    <x v="3"/>
    <n v="76.876100379999997"/>
    <x v="2"/>
    <n v="50.26893407"/>
    <n v="1.6783584199999999"/>
    <n v="36.303372349999997"/>
    <x v="0"/>
    <n v="13.48827069"/>
    <n v="82.695211860000001"/>
    <x v="452"/>
    <x v="5"/>
    <x v="0"/>
    <x v="1"/>
    <n v="26.744881382203058"/>
    <x v="0"/>
  </r>
  <r>
    <s v="User_561"/>
    <x v="3"/>
    <n v="50"/>
    <x v="2"/>
    <n v="52.556895879999999"/>
    <n v="1.0389579659999999"/>
    <n v="37.502387740000003"/>
    <x v="2"/>
    <n v="71.546447110000003"/>
    <n v="74.064680150000001"/>
    <x v="453"/>
    <x v="11"/>
    <x v="2"/>
    <x v="0"/>
    <n v="0.66175255842427883"/>
    <x v="3"/>
  </r>
  <r>
    <s v="User_562"/>
    <x v="3"/>
    <n v="62"/>
    <x v="3"/>
    <n v="37.230275669999997"/>
    <n v="1.315829248"/>
    <n v="4.3026358260000004"/>
    <x v="2"/>
    <n v="66.894430810000003"/>
    <n v="90.572260499999999"/>
    <x v="454"/>
    <x v="9"/>
    <x v="1"/>
    <x v="0"/>
    <n v="5.4654991850812644"/>
    <x v="2"/>
  </r>
  <r>
    <s v="User_565"/>
    <x v="0"/>
    <n v="85"/>
    <x v="4"/>
    <n v="28.079314199999999"/>
    <n v="0.85194934"/>
    <n v="25.576110369999999"/>
    <x v="1"/>
    <n v="25.388197819999998"/>
    <n v="91.346107649999993"/>
    <x v="455"/>
    <x v="4"/>
    <x v="1"/>
    <x v="2"/>
    <n v="15.742449429780628"/>
    <x v="1"/>
  </r>
  <r>
    <s v="User_570"/>
    <x v="2"/>
    <n v="75"/>
    <x v="0"/>
    <n v="66.851092940000001"/>
    <n v="2.5875618710000001"/>
    <n v="20.271139389999998"/>
    <x v="0"/>
    <n v="24.351228209999999"/>
    <n v="61.214351819999997"/>
    <x v="456"/>
    <x v="7"/>
    <x v="0"/>
    <x v="2"/>
    <n v="18.482550768831139"/>
    <x v="1"/>
  </r>
  <r>
    <s v="User_571"/>
    <x v="4"/>
    <n v="62"/>
    <x v="0"/>
    <n v="32.34799933"/>
    <n v="3.9146817970000001"/>
    <n v="15.17023592"/>
    <x v="1"/>
    <n v="71.051736809999994"/>
    <n v="83.00801294"/>
    <x v="457"/>
    <x v="11"/>
    <x v="0"/>
    <x v="1"/>
    <n v="2.3979219959037179"/>
    <x v="3"/>
  </r>
  <r>
    <s v="User_574"/>
    <x v="2"/>
    <n v="91.28885271"/>
    <x v="3"/>
    <n v="8.3836908950000009"/>
    <n v="2.0002674429999998"/>
    <n v="40.177884769999999"/>
    <x v="1"/>
    <n v="75.617695819999994"/>
    <n v="76.105222650000002"/>
    <x v="458"/>
    <x v="8"/>
    <x v="1"/>
    <x v="1"/>
    <n v="3.7312257660466898E-2"/>
    <x v="3"/>
  </r>
  <r>
    <s v="User_58"/>
    <x v="4"/>
    <n v="62"/>
    <x v="0"/>
    <n v="77.863726760000006"/>
    <n v="0.917902247"/>
    <n v="47.154009799999997"/>
    <x v="2"/>
    <n v="56.917421760000003"/>
    <n v="57.46568225"/>
    <x v="459"/>
    <x v="8"/>
    <x v="0"/>
    <x v="1"/>
    <n v="0.2646755509173136"/>
    <x v="3"/>
  </r>
  <r>
    <s v="User_580"/>
    <x v="0"/>
    <n v="100"/>
    <x v="2"/>
    <n v="73.315917859999999"/>
    <n v="2.8969906769999998"/>
    <n v="23.97348714"/>
    <x v="1"/>
    <n v="18.390151070000002"/>
    <n v="80.425686690000006"/>
    <x v="460"/>
    <x v="11"/>
    <x v="2"/>
    <x v="1"/>
    <n v="45.481922339170239"/>
    <x v="0"/>
  </r>
  <r>
    <s v="User_581"/>
    <x v="0"/>
    <n v="50"/>
    <x v="3"/>
    <n v="62.867857950000001"/>
    <n v="2.923176577"/>
    <n v="15.49002761"/>
    <x v="1"/>
    <n v="33.809680159999999"/>
    <n v="61.335867290000003"/>
    <x v="461"/>
    <x v="7"/>
    <x v="1"/>
    <x v="1"/>
    <n v="8.6525621119697913"/>
    <x v="2"/>
  </r>
  <r>
    <s v="User_582"/>
    <x v="1"/>
    <n v="100"/>
    <x v="4"/>
    <n v="14.355208490000001"/>
    <n v="1.7662988799999999"/>
    <n v="47.80486646"/>
    <x v="0"/>
    <n v="13.134702559999999"/>
    <n v="53.730660450000002"/>
    <x v="462"/>
    <x v="0"/>
    <x v="1"/>
    <x v="2"/>
    <n v="5.8276343936221053"/>
    <x v="2"/>
  </r>
  <r>
    <s v="User_583"/>
    <x v="3"/>
    <n v="85"/>
    <x v="2"/>
    <n v="74.789695080000001"/>
    <n v="1.879862312"/>
    <n v="21.108371720000001"/>
    <x v="1"/>
    <n v="16.306239770000001"/>
    <n v="69.887092839999994"/>
    <x v="463"/>
    <x v="8"/>
    <x v="1"/>
    <x v="2"/>
    <n v="34.062013137468441"/>
    <x v="0"/>
  </r>
  <r>
    <s v="User_584"/>
    <x v="3"/>
    <n v="75"/>
    <x v="3"/>
    <n v="41.980753229999998"/>
    <n v="1.732135443"/>
    <n v="14.09085874"/>
    <x v="0"/>
    <n v="14.258182789999999"/>
    <n v="60.364165290000003"/>
    <x v="464"/>
    <x v="46"/>
    <x v="0"/>
    <x v="1"/>
    <n v="14.516729053193988"/>
    <x v="1"/>
  </r>
  <r>
    <s v="User_585"/>
    <x v="2"/>
    <n v="91.775530279999998"/>
    <x v="4"/>
    <n v="66.823121159999999"/>
    <n v="2.9859549699999999"/>
    <n v="11.896273280000001"/>
    <x v="0"/>
    <n v="76.658176659999995"/>
    <n v="84.902302109999994"/>
    <x v="465"/>
    <x v="4"/>
    <x v="1"/>
    <x v="0"/>
    <n v="5.0558973866618633"/>
    <x v="2"/>
  </r>
  <r>
    <s v="User_586"/>
    <x v="1"/>
    <n v="50"/>
    <x v="4"/>
    <n v="47.188408940000002"/>
    <n v="3.3301281120000001"/>
    <n v="5.340049724"/>
    <x v="0"/>
    <n v="17.564878019999998"/>
    <n v="54.490947009999999"/>
    <x v="466"/>
    <x v="8"/>
    <x v="1"/>
    <x v="2"/>
    <n v="8.7124122202338654"/>
    <x v="2"/>
  </r>
  <r>
    <s v="User_587"/>
    <x v="0"/>
    <n v="100"/>
    <x v="3"/>
    <n v="46.29599735"/>
    <n v="2.1538572239999998"/>
    <n v="10.60040169"/>
    <x v="1"/>
    <n v="72.226029159999996"/>
    <n v="84.035606029999997"/>
    <x v="467"/>
    <x v="47"/>
    <x v="2"/>
    <x v="1"/>
    <n v="5.4673613947814133"/>
    <x v="2"/>
  </r>
  <r>
    <s v="User_588"/>
    <x v="3"/>
    <n v="75"/>
    <x v="4"/>
    <n v="37.108517730000003"/>
    <n v="2.9383941170000001"/>
    <n v="20.08030772"/>
    <x v="0"/>
    <n v="33.299940360000001"/>
    <n v="58.815738709999998"/>
    <x v="468"/>
    <x v="48"/>
    <x v="2"/>
    <x v="2"/>
    <n v="7.1014009159955984"/>
    <x v="2"/>
  </r>
  <r>
    <s v="User_589"/>
    <x v="0"/>
    <n v="62"/>
    <x v="0"/>
    <n v="71.975102179999993"/>
    <n v="1.057536324"/>
    <n v="23.650025209999999"/>
    <x v="1"/>
    <n v="63.103754709999997"/>
    <n v="63.99918589"/>
    <x v="469"/>
    <x v="4"/>
    <x v="2"/>
    <x v="0"/>
    <n v="0.39958225418908067"/>
    <x v="3"/>
  </r>
  <r>
    <s v="User_592"/>
    <x v="3"/>
    <n v="85"/>
    <x v="2"/>
    <n v="23.920921969999998"/>
    <n v="2.1458063539999999"/>
    <n v="25.7966029"/>
    <x v="2"/>
    <n v="86.844118620000003"/>
    <n v="89.247460939999996"/>
    <x v="470"/>
    <x v="49"/>
    <x v="2"/>
    <x v="0"/>
    <n v="0.4886663948833081"/>
    <x v="3"/>
  </r>
  <r>
    <s v="User_593"/>
    <x v="1"/>
    <n v="85"/>
    <x v="2"/>
    <n v="40.630923500000002"/>
    <n v="2.7497394119999998"/>
    <n v="25.767194140000001"/>
    <x v="2"/>
    <n v="31.278431309999998"/>
    <n v="70.895894299999995"/>
    <x v="471"/>
    <x v="7"/>
    <x v="1"/>
    <x v="2"/>
    <n v="13.682399918091551"/>
    <x v="1"/>
  </r>
  <r>
    <s v="User_594"/>
    <x v="4"/>
    <n v="62"/>
    <x v="0"/>
    <n v="75.407009540000004"/>
    <n v="3.1544865400000002"/>
    <n v="17.729708720000001"/>
    <x v="0"/>
    <n v="32.029657929999999"/>
    <n v="101.6052792"/>
    <x v="472"/>
    <x v="5"/>
    <x v="2"/>
    <x v="0"/>
    <n v="32.528235128521565"/>
    <x v="0"/>
  </r>
  <r>
    <s v="User_596"/>
    <x v="1"/>
    <n v="75"/>
    <x v="4"/>
    <n v="36.490277880000001"/>
    <n v="0.70475431499999996"/>
    <n v="5.9493017640000003"/>
    <x v="3"/>
    <n v="64.228094740000003"/>
    <n v="76.172904189999997"/>
    <x v="473"/>
    <x v="0"/>
    <x v="2"/>
    <x v="2"/>
    <n v="3.2690206204061227"/>
    <x v="2"/>
  </r>
  <r>
    <s v="User_597"/>
    <x v="1"/>
    <n v="85"/>
    <x v="4"/>
    <n v="67.560142880000001"/>
    <n v="2.8112366500000001"/>
    <n v="8.9705495929999994"/>
    <x v="2"/>
    <n v="69.314697570000007"/>
    <n v="96.936645400000003"/>
    <x v="474"/>
    <x v="2"/>
    <x v="0"/>
    <x v="0"/>
    <n v="15.862213307158999"/>
    <x v="1"/>
  </r>
  <r>
    <s v="User_599"/>
    <x v="1"/>
    <n v="85"/>
    <x v="0"/>
    <n v="28.279857150000002"/>
    <n v="2.6937194089999998"/>
    <n v="13.226974759999999"/>
    <x v="0"/>
    <n v="62.57412042"/>
    <n v="88.358550530000002"/>
    <x v="475"/>
    <x v="5"/>
    <x v="2"/>
    <x v="0"/>
    <n v="6.1980300017421497"/>
    <x v="2"/>
  </r>
  <r>
    <s v="User_60"/>
    <x v="4"/>
    <n v="100"/>
    <x v="0"/>
    <n v="71.280004160000004"/>
    <n v="2.4137549370000002"/>
    <n v="40.616399229999999"/>
    <x v="0"/>
    <n v="26.156597949999998"/>
    <n v="89.924588529999994"/>
    <x v="476"/>
    <x v="4"/>
    <x v="2"/>
    <x v="1"/>
    <n v="45.453826338172412"/>
    <x v="0"/>
  </r>
  <r>
    <s v="User_600"/>
    <x v="1"/>
    <n v="62"/>
    <x v="2"/>
    <n v="28.869124800000002"/>
    <n v="1.1539207499999999"/>
    <n v="32.83003789"/>
    <x v="0"/>
    <n v="81.272807740000005"/>
    <n v="95.9717938"/>
    <x v="477"/>
    <x v="7"/>
    <x v="0"/>
    <x v="1"/>
    <n v="2.6309505505975217"/>
    <x v="3"/>
  </r>
  <r>
    <s v="User_604"/>
    <x v="0"/>
    <n v="62"/>
    <x v="4"/>
    <n v="26.29222408"/>
    <n v="1.7788208109999999"/>
    <n v="3.5933276319999998"/>
    <x v="2"/>
    <n v="40.476013819999999"/>
    <n v="69.667977320000006"/>
    <x v="478"/>
    <x v="0"/>
    <x v="2"/>
    <x v="0"/>
    <n v="4.7586342031985245"/>
    <x v="2"/>
  </r>
  <r>
    <s v="User_605"/>
    <x v="2"/>
    <n v="75"/>
    <x v="3"/>
    <n v="51.636842340000001"/>
    <n v="0.78355212500000004"/>
    <n v="14.6069844"/>
    <x v="2"/>
    <n v="32.409615729999999"/>
    <n v="78.636159230000004"/>
    <x v="479"/>
    <x v="5"/>
    <x v="1"/>
    <x v="2"/>
    <n v="17.902445539744892"/>
    <x v="1"/>
  </r>
  <r>
    <s v="User_607"/>
    <x v="0"/>
    <n v="50"/>
    <x v="1"/>
    <n v="19.362005740000001"/>
    <n v="2.5362493420000001"/>
    <n v="29.6262428"/>
    <x v="3"/>
    <n v="47.225237960000001"/>
    <n v="83.91200044"/>
    <x v="480"/>
    <x v="2"/>
    <x v="0"/>
    <x v="1"/>
    <n v="3.5516465285988827"/>
    <x v="2"/>
  </r>
  <r>
    <s v="User_608"/>
    <x v="3"/>
    <n v="75"/>
    <x v="1"/>
    <n v="55.395791440000004"/>
    <n v="2.253027296"/>
    <n v="31.554096560000001"/>
    <x v="2"/>
    <n v="12.980576859999999"/>
    <n v="61.218992710000002"/>
    <x v="481"/>
    <x v="9"/>
    <x v="1"/>
    <x v="0"/>
    <n v="20.041539178669431"/>
    <x v="0"/>
  </r>
  <r>
    <s v="User_609"/>
    <x v="4"/>
    <n v="50"/>
    <x v="0"/>
    <n v="22.01644361"/>
    <n v="1.2691575989999999"/>
    <n v="41.196250640000002"/>
    <x v="1"/>
    <n v="23.665610919999999"/>
    <n v="74.898729419999995"/>
    <x v="482"/>
    <x v="5"/>
    <x v="1"/>
    <x v="1"/>
    <n v="5.6398553220984891"/>
    <x v="2"/>
  </r>
  <r>
    <s v="User_61"/>
    <x v="4"/>
    <n v="62"/>
    <x v="0"/>
    <n v="21.827688179999999"/>
    <n v="2.0821000070000002"/>
    <n v="26.50712322"/>
    <x v="0"/>
    <n v="33.255985090000003"/>
    <n v="51.501132269999999"/>
    <x v="483"/>
    <x v="2"/>
    <x v="1"/>
    <x v="1"/>
    <n v="2.4691461773481267"/>
    <x v="3"/>
  </r>
  <r>
    <s v="User_610"/>
    <x v="3"/>
    <n v="75"/>
    <x v="2"/>
    <n v="67.381860560000007"/>
    <n v="0.79921023099999999"/>
    <n v="2.6369667899999998"/>
    <x v="3"/>
    <n v="12.05479002"/>
    <n v="86.490246999999997"/>
    <x v="484"/>
    <x v="0"/>
    <x v="0"/>
    <x v="0"/>
    <n v="37.616996872096799"/>
    <x v="0"/>
  </r>
  <r>
    <s v="User_611"/>
    <x v="3"/>
    <n v="75"/>
    <x v="3"/>
    <n v="68.238344049999995"/>
    <n v="2.7104371989999998"/>
    <n v="8.9914991989999997"/>
    <x v="0"/>
    <n v="30.228181599999999"/>
    <n v="80.043744599999997"/>
    <x v="485"/>
    <x v="2"/>
    <x v="1"/>
    <x v="2"/>
    <n v="25.494986452788371"/>
    <x v="0"/>
  </r>
  <r>
    <s v="User_612"/>
    <x v="3"/>
    <n v="62"/>
    <x v="4"/>
    <n v="67.133340390000001"/>
    <n v="1.234154803"/>
    <n v="27.956715200000001"/>
    <x v="0"/>
    <n v="23.505947160000002"/>
    <n v="76.146008449999997"/>
    <x v="486"/>
    <x v="7"/>
    <x v="1"/>
    <x v="1"/>
    <n v="21.910199546938596"/>
    <x v="0"/>
  </r>
  <r>
    <s v="User_613"/>
    <x v="1"/>
    <n v="75"/>
    <x v="1"/>
    <n v="42.918937339999999"/>
    <n v="3.1653954180000001"/>
    <n v="13.10448059"/>
    <x v="1"/>
    <n v="34.834639359999997"/>
    <n v="97.251786749999994"/>
    <x v="487"/>
    <x v="4"/>
    <x v="0"/>
    <x v="1"/>
    <n v="20.091582283297157"/>
    <x v="0"/>
  </r>
  <r>
    <s v="User_615"/>
    <x v="3"/>
    <n v="62"/>
    <x v="1"/>
    <n v="35.327332249999998"/>
    <n v="1.4716437600000001"/>
    <n v="44.67299946"/>
    <x v="1"/>
    <n v="51.417333300000003"/>
    <n v="73.335294250000004"/>
    <x v="488"/>
    <x v="8"/>
    <x v="0"/>
    <x v="2"/>
    <n v="4.8006791500836883"/>
    <x v="2"/>
  </r>
  <r>
    <s v="User_616"/>
    <x v="2"/>
    <n v="62"/>
    <x v="1"/>
    <n v="74.510503180000001"/>
    <n v="1.5892187579999999"/>
    <n v="7.9949116729999998"/>
    <x v="1"/>
    <n v="70.430503110000004"/>
    <n v="95.659228130000002"/>
    <x v="489"/>
    <x v="11"/>
    <x v="1"/>
    <x v="1"/>
    <n v="11.654790974146342"/>
    <x v="1"/>
  </r>
  <r>
    <s v="User_619"/>
    <x v="0"/>
    <n v="1.5365397430000001"/>
    <x v="2"/>
    <n v="23.522241810000001"/>
    <n v="1.8443738510000001"/>
    <n v="42.380271399999998"/>
    <x v="1"/>
    <n v="74.930825600000006"/>
    <n v="96.896946990000004"/>
    <x v="490"/>
    <x v="4"/>
    <x v="0"/>
    <x v="2"/>
    <n v="7.9391843664406062E-2"/>
    <x v="3"/>
  </r>
  <r>
    <s v="User_621"/>
    <x v="1"/>
    <n v="121.2118924"/>
    <x v="3"/>
    <n v="66.705236450000001"/>
    <n v="1.8952201719999999"/>
    <n v="6.5136568930000003"/>
    <x v="3"/>
    <n v="56.717972179999997"/>
    <n v="83.646181530000007"/>
    <x v="491"/>
    <x v="2"/>
    <x v="2"/>
    <x v="0"/>
    <n v="21.772717346434806"/>
    <x v="0"/>
  </r>
  <r>
    <s v="User_627"/>
    <x v="0"/>
    <n v="50"/>
    <x v="2"/>
    <n v="43.5123471"/>
    <n v="1.181219115"/>
    <n v="26.135239810000002"/>
    <x v="0"/>
    <n v="17.36980865"/>
    <n v="95.172164510000002"/>
    <x v="492"/>
    <x v="8"/>
    <x v="0"/>
    <x v="0"/>
    <n v="16.926815566890195"/>
    <x v="1"/>
  </r>
  <r>
    <s v="User_628"/>
    <x v="4"/>
    <n v="75"/>
    <x v="0"/>
    <n v="38.598139410000002"/>
    <n v="1.369419618"/>
    <n v="26.562952200000002"/>
    <x v="0"/>
    <n v="37.927498530000001"/>
    <n v="75.100943650000005"/>
    <x v="493"/>
    <x v="9"/>
    <x v="2"/>
    <x v="2"/>
    <n v="10.761193628188085"/>
    <x v="1"/>
  </r>
  <r>
    <s v="User_63"/>
    <x v="1"/>
    <n v="124.3159114"/>
    <x v="0"/>
    <n v="46.195137000000003"/>
    <n v="0.650507579"/>
    <n v="47.87752356"/>
    <x v="2"/>
    <n v="53.005185330000003"/>
    <n v="59.901646270000001"/>
    <x v="494"/>
    <x v="11"/>
    <x v="2"/>
    <x v="0"/>
    <n v="3.9604930772626115"/>
    <x v="2"/>
  </r>
  <r>
    <s v="User_630"/>
    <x v="0"/>
    <n v="85"/>
    <x v="1"/>
    <n v="58.77314552"/>
    <n v="2.7465558809999999"/>
    <n v="12.80228934"/>
    <x v="3"/>
    <n v="70.880210219999995"/>
    <n v="72.252625949999995"/>
    <x v="495"/>
    <x v="9"/>
    <x v="2"/>
    <x v="2"/>
    <n v="0.68562011001242984"/>
    <x v="3"/>
  </r>
  <r>
    <s v="User_631"/>
    <x v="1"/>
    <n v="62"/>
    <x v="1"/>
    <n v="65.539397780000002"/>
    <n v="1.965124533"/>
    <n v="5.210684627"/>
    <x v="3"/>
    <n v="45.972657959999999"/>
    <n v="51.330011519999999"/>
    <x v="496"/>
    <x v="9"/>
    <x v="2"/>
    <x v="2"/>
    <n v="2.1769299013050225"/>
    <x v="3"/>
  </r>
  <r>
    <s v="User_633"/>
    <x v="0"/>
    <n v="62"/>
    <x v="2"/>
    <n v="62.919437350000003"/>
    <n v="1.110562982"/>
    <n v="37.243458009999998"/>
    <x v="2"/>
    <n v="39.360139369999999"/>
    <n v="50.604187279999998"/>
    <x v="497"/>
    <x v="7"/>
    <x v="0"/>
    <x v="1"/>
    <n v="4.3863088418085887"/>
    <x v="2"/>
  </r>
  <r>
    <s v="User_634"/>
    <x v="2"/>
    <n v="35.044354419999998"/>
    <x v="4"/>
    <n v="18.3997104"/>
    <n v="2.0655203900000001"/>
    <n v="5.9041894929999996"/>
    <x v="2"/>
    <n v="36.509683699999997"/>
    <n v="85.769737329999998"/>
    <x v="498"/>
    <x v="5"/>
    <x v="0"/>
    <x v="0"/>
    <n v="3.176317678545491"/>
    <x v="2"/>
  </r>
  <r>
    <s v="User_636"/>
    <x v="3"/>
    <n v="85"/>
    <x v="3"/>
    <n v="21.471428410000001"/>
    <n v="3.1162253459999998"/>
    <n v="47.189758699999999"/>
    <x v="2"/>
    <n v="53.35164134"/>
    <n v="86.031350329999995"/>
    <x v="499"/>
    <x v="7"/>
    <x v="0"/>
    <x v="1"/>
    <n v="5.9642802723265564"/>
    <x v="2"/>
  </r>
  <r>
    <s v="User_637"/>
    <x v="3"/>
    <n v="75"/>
    <x v="3"/>
    <n v="21.867947789999999"/>
    <n v="3.3833368269999999"/>
    <n v="29.884066000000001"/>
    <x v="0"/>
    <n v="43.835648800000001"/>
    <n v="61.372029470000001"/>
    <x v="500"/>
    <x v="0"/>
    <x v="2"/>
    <x v="0"/>
    <n v="2.8761349268784384"/>
    <x v="3"/>
  </r>
  <r>
    <s v="User_642"/>
    <x v="1"/>
    <n v="50"/>
    <x v="0"/>
    <n v="40.051796619999998"/>
    <n v="1.0397449089999999"/>
    <n v="26.328016869999999"/>
    <x v="1"/>
    <n v="21.780356950000002"/>
    <n v="92.331981589999998"/>
    <x v="501"/>
    <x v="0"/>
    <x v="0"/>
    <x v="1"/>
    <n v="14.128596606459302"/>
    <x v="1"/>
  </r>
  <r>
    <s v="User_643"/>
    <x v="1"/>
    <n v="85"/>
    <x v="1"/>
    <n v="77.677821969999997"/>
    <n v="2.8759623479999998"/>
    <n v="36.883769399999998"/>
    <x v="1"/>
    <n v="18.747745859999998"/>
    <n v="92.781831210000007"/>
    <x v="502"/>
    <x v="4"/>
    <x v="1"/>
    <x v="0"/>
    <n v="48.881855262997234"/>
    <x v="0"/>
  </r>
  <r>
    <s v="User_644"/>
    <x v="2"/>
    <n v="62"/>
    <x v="0"/>
    <n v="38.36041213"/>
    <n v="1.2969834259999999"/>
    <n v="38.343763889999998"/>
    <x v="3"/>
    <n v="72.50501027"/>
    <n v="86.300717719999994"/>
    <x v="503"/>
    <x v="7"/>
    <x v="0"/>
    <x v="2"/>
    <n v="3.281095945122849"/>
    <x v="2"/>
  </r>
  <r>
    <s v="User_645"/>
    <x v="1"/>
    <n v="75"/>
    <x v="0"/>
    <n v="6.3375342650000004"/>
    <n v="0.94140624799999995"/>
    <n v="4.3159616710000002"/>
    <x v="1"/>
    <n v="44.292257429999999"/>
    <n v="55.523646300000003"/>
    <x v="504"/>
    <x v="7"/>
    <x v="1"/>
    <x v="2"/>
    <n v="0.53384483855373499"/>
    <x v="3"/>
  </r>
  <r>
    <s v="User_646"/>
    <x v="4"/>
    <n v="100"/>
    <x v="0"/>
    <n v="6.9787713499999997"/>
    <n v="2.891860216"/>
    <n v="35.788923539999999"/>
    <x v="1"/>
    <n v="23.831531590000001"/>
    <n v="78.779967339999999"/>
    <x v="505"/>
    <x v="9"/>
    <x v="0"/>
    <x v="1"/>
    <n v="3.8347256913941576"/>
    <x v="2"/>
  </r>
  <r>
    <s v="User_647"/>
    <x v="2"/>
    <n v="62"/>
    <x v="1"/>
    <n v="30.5491308"/>
    <n v="3.7469924579999998"/>
    <n v="31.231512720000001"/>
    <x v="2"/>
    <n v="59.657920959999998"/>
    <n v="75.654304350000004"/>
    <x v="506"/>
    <x v="2"/>
    <x v="0"/>
    <x v="2"/>
    <n v="3.0297887727499568"/>
    <x v="2"/>
  </r>
  <r>
    <s v="User_65"/>
    <x v="4"/>
    <n v="50"/>
    <x v="4"/>
    <n v="76.933421899999999"/>
    <n v="2.1234202"/>
    <n v="34.176855500000002"/>
    <x v="3"/>
    <n v="27.174615330000002"/>
    <n v="92.1446337"/>
    <x v="507"/>
    <x v="50"/>
    <x v="0"/>
    <x v="1"/>
    <n v="24.991829170549799"/>
    <x v="0"/>
  </r>
  <r>
    <s v="User_652"/>
    <x v="4"/>
    <n v="100"/>
    <x v="4"/>
    <n v="76.065038810000004"/>
    <n v="3.724368519"/>
    <n v="5.4903225769999997"/>
    <x v="0"/>
    <n v="15.22175989"/>
    <n v="83.983061370000001"/>
    <x v="508"/>
    <x v="11"/>
    <x v="0"/>
    <x v="2"/>
    <n v="52.303310657023104"/>
    <x v="0"/>
  </r>
  <r>
    <s v="User_656"/>
    <x v="3"/>
    <n v="62"/>
    <x v="2"/>
    <n v="30.550011560000002"/>
    <n v="2.8343933529999998"/>
    <n v="8.8315735879999995"/>
    <x v="3"/>
    <n v="44.701019500000001"/>
    <n v="95.145641769999997"/>
    <x v="509"/>
    <x v="2"/>
    <x v="2"/>
    <x v="1"/>
    <n v="9.5547195196276657"/>
    <x v="2"/>
  </r>
  <r>
    <s v="User_657"/>
    <x v="3"/>
    <n v="75"/>
    <x v="3"/>
    <n v="44.758667379999999"/>
    <n v="3.4897711999999999"/>
    <n v="19.404372429999999"/>
    <x v="3"/>
    <n v="28.443103369999999"/>
    <n v="98.272857160000001"/>
    <x v="510"/>
    <x v="4"/>
    <x v="0"/>
    <x v="2"/>
    <n v="23.44115042335428"/>
    <x v="0"/>
  </r>
  <r>
    <s v="User_658"/>
    <x v="4"/>
    <n v="75"/>
    <x v="2"/>
    <n v="59.157308469999997"/>
    <n v="2.8668371490000002"/>
    <n v="19.101417090000002"/>
    <x v="0"/>
    <n v="14.43359894"/>
    <n v="54.773365040000002"/>
    <x v="511"/>
    <x v="8"/>
    <x v="2"/>
    <x v="1"/>
    <n v="17.897939900890119"/>
    <x v="1"/>
  </r>
  <r>
    <s v="User_659"/>
    <x v="3"/>
    <n v="100"/>
    <x v="2"/>
    <n v="57.145559970000001"/>
    <n v="2.5697534979999999"/>
    <n v="5.9624447209999998"/>
    <x v="1"/>
    <n v="82.433185069999993"/>
    <n v="93.335936410000002"/>
    <x v="512"/>
    <x v="2"/>
    <x v="0"/>
    <x v="0"/>
    <n v="6.2304383053796837"/>
    <x v="2"/>
  </r>
  <r>
    <s v="User_661"/>
    <x v="1"/>
    <n v="75"/>
    <x v="0"/>
    <n v="23.836880099999998"/>
    <n v="2.8536492330000001"/>
    <n v="12.329512360000001"/>
    <x v="3"/>
    <n v="63.198836280000002"/>
    <n v="73.812708459999996"/>
    <x v="513"/>
    <x v="51"/>
    <x v="1"/>
    <x v="0"/>
    <n v="1.8975119891353911"/>
    <x v="3"/>
  </r>
  <r>
    <s v="User_664"/>
    <x v="2"/>
    <n v="75"/>
    <x v="1"/>
    <n v="27.170170809999998"/>
    <n v="3.3209390609999998"/>
    <n v="23.82464409"/>
    <x v="2"/>
    <n v="46.821753039999997"/>
    <n v="79.213896120000001"/>
    <x v="514"/>
    <x v="7"/>
    <x v="0"/>
    <x v="0"/>
    <n v="6.6007504528916954"/>
    <x v="2"/>
  </r>
  <r>
    <s v="User_665"/>
    <x v="2"/>
    <n v="50"/>
    <x v="2"/>
    <n v="48.942320250000002"/>
    <n v="3.7916223160000002"/>
    <n v="31.171170499999999"/>
    <x v="1"/>
    <n v="75.810684429999995"/>
    <n v="89.154642289999998"/>
    <x v="515"/>
    <x v="7"/>
    <x v="0"/>
    <x v="0"/>
    <n v="3.2654212949331241"/>
    <x v="2"/>
  </r>
  <r>
    <s v="User_667"/>
    <x v="1"/>
    <n v="75"/>
    <x v="3"/>
    <n v="58.197285270000002"/>
    <n v="1.7620474180000001"/>
    <n v="6.5087451529999996"/>
    <x v="0"/>
    <n v="25.84005874"/>
    <n v="83.117432010000002"/>
    <x v="516"/>
    <x v="4"/>
    <x v="0"/>
    <x v="1"/>
    <n v="25.000407237828473"/>
    <x v="0"/>
  </r>
  <r>
    <s v="User_668"/>
    <x v="3"/>
    <n v="62"/>
    <x v="3"/>
    <n v="65.200937199999998"/>
    <n v="2.9527283880000001"/>
    <n v="22.57264065"/>
    <x v="3"/>
    <n v="13.9095967"/>
    <n v="77.578875120000006"/>
    <x v="517"/>
    <x v="52"/>
    <x v="0"/>
    <x v="1"/>
    <n v="25.738039067756759"/>
    <x v="0"/>
  </r>
  <r>
    <s v="User_669"/>
    <x v="4"/>
    <n v="5.189529952"/>
    <x v="1"/>
    <n v="51.14211521"/>
    <n v="1.780954154"/>
    <n v="21.118030650000001"/>
    <x v="2"/>
    <n v="58.189363149999998"/>
    <n v="69.157727940000001"/>
    <x v="518"/>
    <x v="0"/>
    <x v="2"/>
    <x v="0"/>
    <n v="0.29110428289189971"/>
    <x v="3"/>
  </r>
  <r>
    <s v="User_67"/>
    <x v="4"/>
    <n v="100"/>
    <x v="3"/>
    <n v="37.062927780000003"/>
    <n v="1.6090994329999999"/>
    <n v="15.230062589999999"/>
    <x v="1"/>
    <n v="7.5204447270000001"/>
    <n v="67.797872650000002"/>
    <x v="519"/>
    <x v="0"/>
    <x v="2"/>
    <x v="2"/>
    <n v="22.340579578743046"/>
    <x v="0"/>
  </r>
  <r>
    <s v="User_671"/>
    <x v="2"/>
    <n v="85"/>
    <x v="4"/>
    <n v="41.977182839999998"/>
    <n v="3.1964455520000001"/>
    <n v="49.308369399999997"/>
    <x v="0"/>
    <n v="11.415452889999999"/>
    <n v="88.498632299999997"/>
    <x v="520"/>
    <x v="4"/>
    <x v="2"/>
    <x v="0"/>
    <n v="27.50374508584779"/>
    <x v="0"/>
  </r>
  <r>
    <s v="User_672"/>
    <x v="3"/>
    <n v="50"/>
    <x v="0"/>
    <n v="69.422351039999995"/>
    <n v="1.9373668690000001"/>
    <n v="9.8898207419999995"/>
    <x v="0"/>
    <n v="29.133980789999999"/>
    <n v="99.887153069999997"/>
    <x v="521"/>
    <x v="4"/>
    <x v="0"/>
    <x v="1"/>
    <n v="24.559257816078784"/>
    <x v="0"/>
  </r>
  <r>
    <s v="User_673"/>
    <x v="1"/>
    <n v="50"/>
    <x v="2"/>
    <n v="78.983579449999993"/>
    <n v="2.9040714589999999"/>
    <n v="37.47917296"/>
    <x v="0"/>
    <n v="30.855323850000001"/>
    <n v="89.888898139999995"/>
    <x v="522"/>
    <x v="5"/>
    <x v="0"/>
    <x v="0"/>
    <n v="23.313415025758456"/>
    <x v="0"/>
  </r>
  <r>
    <s v="User_674"/>
    <x v="0"/>
    <n v="85"/>
    <x v="3"/>
    <n v="8.5279290060000008"/>
    <n v="2.9292312620000001"/>
    <n v="9.8121045769999995"/>
    <x v="0"/>
    <n v="40.402036330000001"/>
    <n v="66.025322630000005"/>
    <x v="523"/>
    <x v="11"/>
    <x v="1"/>
    <x v="0"/>
    <n v="1.8573653149679061"/>
    <x v="3"/>
  </r>
  <r>
    <s v="User_676"/>
    <x v="1"/>
    <n v="105.5549669"/>
    <x v="0"/>
    <n v="48.502886590000003"/>
    <n v="3.2569565890000001"/>
    <n v="43.609707460000003"/>
    <x v="3"/>
    <n v="28.208935069999999"/>
    <n v="64.312220010000004"/>
    <x v="524"/>
    <x v="7"/>
    <x v="2"/>
    <x v="1"/>
    <n v="18.483873122203498"/>
    <x v="1"/>
  </r>
  <r>
    <s v="User_677"/>
    <x v="1"/>
    <n v="62"/>
    <x v="1"/>
    <n v="52.532574480000001"/>
    <n v="0.75003434099999999"/>
    <n v="40.990445960000002"/>
    <x v="3"/>
    <n v="29.71940201"/>
    <n v="63.899161429999999"/>
    <x v="525"/>
    <x v="5"/>
    <x v="2"/>
    <x v="2"/>
    <n v="11.132414696125716"/>
    <x v="1"/>
  </r>
  <r>
    <s v="User_678"/>
    <x v="2"/>
    <n v="75"/>
    <x v="0"/>
    <n v="45.4711888"/>
    <n v="2.9577467890000002"/>
    <n v="48.011455929999997"/>
    <x v="1"/>
    <n v="56.831376880000001"/>
    <n v="89.623842389999993"/>
    <x v="526"/>
    <x v="9"/>
    <x v="1"/>
    <x v="0"/>
    <n v="11.183342928170234"/>
    <x v="1"/>
  </r>
  <r>
    <s v="User_684"/>
    <x v="4"/>
    <n v="85"/>
    <x v="1"/>
    <n v="53.104493650000002"/>
    <n v="1.8580966640000001"/>
    <n v="12.62054715"/>
    <x v="3"/>
    <n v="33.660135779999997"/>
    <n v="52.833783269999998"/>
    <x v="527"/>
    <x v="9"/>
    <x v="2"/>
    <x v="1"/>
    <n v="8.6547581517303698"/>
    <x v="2"/>
  </r>
  <r>
    <s v="User_685"/>
    <x v="2"/>
    <n v="75"/>
    <x v="1"/>
    <n v="28.78805676"/>
    <n v="3.1918278560000002"/>
    <n v="33.372714770000002"/>
    <x v="0"/>
    <n v="40.830540259999999"/>
    <n v="61.647563079999998"/>
    <x v="528"/>
    <x v="5"/>
    <x v="1"/>
    <x v="0"/>
    <n v="4.4946122588728139"/>
    <x v="2"/>
  </r>
  <r>
    <s v="User_687"/>
    <x v="1"/>
    <n v="101.1029879"/>
    <x v="0"/>
    <n v="7.2754435109999998"/>
    <n v="2.6906032550000001"/>
    <n v="21.060324309999999"/>
    <x v="3"/>
    <n v="12.884780960000001"/>
    <n v="72.451748309999999"/>
    <x v="529"/>
    <x v="5"/>
    <x v="2"/>
    <x v="0"/>
    <n v="4.3815619208802135"/>
    <x v="2"/>
  </r>
  <r>
    <s v="User_690"/>
    <x v="2"/>
    <n v="50"/>
    <x v="1"/>
    <n v="79.962226279999996"/>
    <n v="2.967779749"/>
    <n v="9.8077299260000004"/>
    <x v="2"/>
    <n v="20.760171809999999"/>
    <n v="98.432868889999995"/>
    <x v="530"/>
    <x v="0"/>
    <x v="2"/>
    <x v="2"/>
    <n v="31.054408898444272"/>
    <x v="0"/>
  </r>
  <r>
    <s v="User_691"/>
    <x v="1"/>
    <n v="100"/>
    <x v="2"/>
    <n v="57.232834449999999"/>
    <n v="1.389640352"/>
    <n v="30.942753310000001"/>
    <x v="0"/>
    <n v="22.440899420000001"/>
    <n v="63.151771109999999"/>
    <x v="531"/>
    <x v="7"/>
    <x v="1"/>
    <x v="0"/>
    <n v="23.299985797489615"/>
    <x v="0"/>
  </r>
  <r>
    <s v="User_693"/>
    <x v="0"/>
    <n v="100"/>
    <x v="4"/>
    <n v="10.4201108"/>
    <n v="1.229348211"/>
    <n v="18.899703259999999"/>
    <x v="2"/>
    <n v="54.978825739999998"/>
    <n v="59.780788579999999"/>
    <x v="532"/>
    <x v="0"/>
    <x v="1"/>
    <x v="0"/>
    <n v="0.50036984850282684"/>
    <x v="3"/>
  </r>
  <r>
    <s v="User_694"/>
    <x v="3"/>
    <n v="85"/>
    <x v="0"/>
    <n v="47.197444689999998"/>
    <n v="1.5512712820000001"/>
    <n v="23.430022749999999"/>
    <x v="3"/>
    <n v="74.877487880000004"/>
    <n v="94.073569489999997"/>
    <x v="533"/>
    <x v="2"/>
    <x v="1"/>
    <x v="1"/>
    <n v="7.7010510004479569"/>
    <x v="2"/>
  </r>
  <r>
    <s v="User_695"/>
    <x v="3"/>
    <n v="75"/>
    <x v="1"/>
    <n v="64.450811580000007"/>
    <n v="3.9988437509999999"/>
    <n v="21.47178993"/>
    <x v="1"/>
    <n v="46.220436100000001"/>
    <n v="89.438991580000007"/>
    <x v="534"/>
    <x v="11"/>
    <x v="1"/>
    <x v="0"/>
    <n v="20.891032320009426"/>
    <x v="0"/>
  </r>
  <r>
    <s v="User_696"/>
    <x v="4"/>
    <n v="85"/>
    <x v="3"/>
    <n v="37.847297300000001"/>
    <n v="2.262536221"/>
    <n v="2.826146252"/>
    <x v="2"/>
    <n v="55.251805070000003"/>
    <n v="101.7019615"/>
    <x v="535"/>
    <x v="7"/>
    <x v="2"/>
    <x v="1"/>
    <n v="14.94310948032059"/>
    <x v="1"/>
  </r>
  <r>
    <s v="User_698"/>
    <x v="4"/>
    <n v="62"/>
    <x v="1"/>
    <n v="79.263184519999996"/>
    <n v="0.62016259900000004"/>
    <n v="27.645089550000002"/>
    <x v="0"/>
    <n v="80.473599640000003"/>
    <n v="81.061599520000001"/>
    <x v="536"/>
    <x v="2"/>
    <x v="1"/>
    <x v="0"/>
    <n v="0.28896180651430181"/>
    <x v="3"/>
  </r>
  <r>
    <s v="User_7"/>
    <x v="2"/>
    <n v="85"/>
    <x v="0"/>
    <n v="36.862139990000003"/>
    <n v="3.539619026"/>
    <n v="26.185187859999999"/>
    <x v="0"/>
    <n v="60.751780760000003"/>
    <n v="70.796096899999995"/>
    <x v="537"/>
    <x v="7"/>
    <x v="2"/>
    <x v="0"/>
    <n v="3.1471673950802175"/>
    <x v="2"/>
  </r>
  <r>
    <s v="User_703"/>
    <x v="4"/>
    <n v="62"/>
    <x v="4"/>
    <n v="28.68467334"/>
    <n v="3.2465728989999998"/>
    <n v="16.487468100000001"/>
    <x v="2"/>
    <n v="13.89246256"/>
    <n v="81.568703999999997"/>
    <x v="538"/>
    <x v="9"/>
    <x v="1"/>
    <x v="0"/>
    <n v="12.035879447229302"/>
    <x v="1"/>
  </r>
  <r>
    <s v="User_705"/>
    <x v="3"/>
    <n v="100"/>
    <x v="4"/>
    <n v="56.657563699999997"/>
    <n v="0.61320850800000004"/>
    <n v="21.0697714"/>
    <x v="3"/>
    <n v="84.615261419999996"/>
    <n v="88.995628929999995"/>
    <x v="539"/>
    <x v="5"/>
    <x v="1"/>
    <x v="1"/>
    <n v="2.4818095122723536"/>
    <x v="3"/>
  </r>
  <r>
    <s v="User_706"/>
    <x v="0"/>
    <n v="50"/>
    <x v="1"/>
    <n v="5.5837977700000003"/>
    <n v="2.833926983"/>
    <n v="35.820845759999997"/>
    <x v="2"/>
    <n v="68.597113030000003"/>
    <n v="95.588255309999994"/>
    <x v="540"/>
    <x v="8"/>
    <x v="1"/>
    <x v="1"/>
    <n v="0.75356540036408337"/>
    <x v="3"/>
  </r>
  <r>
    <s v="User_709"/>
    <x v="3"/>
    <n v="75"/>
    <x v="1"/>
    <n v="58.281853730000002"/>
    <n v="2.2809429680000002"/>
    <n v="32.976500059999999"/>
    <x v="2"/>
    <n v="34.459615540000001"/>
    <n v="84.487788080000001"/>
    <x v="541"/>
    <x v="53"/>
    <x v="1"/>
    <x v="0"/>
    <n v="21.868009757666123"/>
    <x v="0"/>
  </r>
  <r>
    <s v="User_710"/>
    <x v="3"/>
    <n v="50"/>
    <x v="3"/>
    <n v="47.888624669999999"/>
    <n v="4.2283057380000004"/>
    <n v="26.42521897"/>
    <x v="2"/>
    <n v="82.180397549999995"/>
    <n v="83.008804889999993"/>
    <x v="542"/>
    <x v="4"/>
    <x v="1"/>
    <x v="0"/>
    <n v="0.19835644089566495"/>
    <x v="3"/>
  </r>
  <r>
    <s v="User_712"/>
    <x v="1"/>
    <n v="62"/>
    <x v="4"/>
    <n v="12.1284844"/>
    <n v="2.9543055329999999"/>
    <n v="9.5821586819999993"/>
    <x v="1"/>
    <n v="48.947886009999998"/>
    <n v="77.676197709999997"/>
    <x v="543"/>
    <x v="0"/>
    <x v="0"/>
    <x v="1"/>
    <n v="2.1602714578090825"/>
    <x v="3"/>
  </r>
  <r>
    <s v="User_713"/>
    <x v="4"/>
    <n v="75"/>
    <x v="0"/>
    <n v="45.90925215"/>
    <n v="0.70873854599999997"/>
    <n v="26.3121504"/>
    <x v="3"/>
    <n v="40.716117259999997"/>
    <n v="97.288464779999998"/>
    <x v="544"/>
    <x v="4"/>
    <x v="2"/>
    <x v="0"/>
    <n v="19.478956252598305"/>
    <x v="1"/>
  </r>
  <r>
    <s v="User_717"/>
    <x v="4"/>
    <n v="85"/>
    <x v="2"/>
    <n v="23.222634379999999"/>
    <n v="0.65648596100000001"/>
    <n v="5.4067180239999999"/>
    <x v="2"/>
    <n v="17.513436630000001"/>
    <n v="97.238313300000002"/>
    <x v="545"/>
    <x v="5"/>
    <x v="1"/>
    <x v="2"/>
    <n v="15.737084126133018"/>
    <x v="1"/>
  </r>
  <r>
    <s v="User_72"/>
    <x v="1"/>
    <n v="75"/>
    <x v="0"/>
    <n v="61.130475830000002"/>
    <n v="0.94727720900000001"/>
    <n v="23.281804959999999"/>
    <x v="0"/>
    <n v="34.899043749999997"/>
    <n v="92.355661170000005"/>
    <x v="546"/>
    <x v="11"/>
    <x v="0"/>
    <x v="2"/>
    <n v="26.342627718501507"/>
    <x v="0"/>
  </r>
  <r>
    <s v="User_723"/>
    <x v="4"/>
    <n v="75"/>
    <x v="4"/>
    <n v="26.493008140000001"/>
    <n v="2.1172041460000002"/>
    <n v="7.1487904459999996"/>
    <x v="0"/>
    <n v="55.39403574"/>
    <n v="56.752399939999997"/>
    <x v="547"/>
    <x v="4"/>
    <x v="1"/>
    <x v="2"/>
    <n v="0.26990365355763379"/>
    <x v="3"/>
  </r>
  <r>
    <s v="User_724"/>
    <x v="0"/>
    <n v="50"/>
    <x v="0"/>
    <n v="55.302730560000001"/>
    <n v="2.5445660590000001"/>
    <n v="37.347460810000001"/>
    <x v="1"/>
    <n v="71.916646380000003"/>
    <n v="88.375241939999995"/>
    <x v="548"/>
    <x v="11"/>
    <x v="2"/>
    <x v="0"/>
    <n v="4.551026378253459"/>
    <x v="2"/>
  </r>
  <r>
    <s v="User_726"/>
    <x v="3"/>
    <n v="42.223964260000002"/>
    <x v="3"/>
    <n v="62.634009900000002"/>
    <n v="1.3061013640000001"/>
    <n v="37.574547709999997"/>
    <x v="0"/>
    <n v="69.883029010000001"/>
    <n v="89.70899824"/>
    <x v="549"/>
    <x v="11"/>
    <x v="1"/>
    <x v="0"/>
    <n v="5.24328723554774"/>
    <x v="2"/>
  </r>
  <r>
    <s v="User_727"/>
    <x v="0"/>
    <n v="7.7145168540000002"/>
    <x v="0"/>
    <n v="36.229412760000002"/>
    <n v="1.885689028"/>
    <n v="11.09306321"/>
    <x v="0"/>
    <n v="43.356673919999999"/>
    <n v="91.940316749999994"/>
    <x v="550"/>
    <x v="11"/>
    <x v="2"/>
    <x v="1"/>
    <n v="1.3578759680939021"/>
    <x v="3"/>
  </r>
  <r>
    <s v="User_729"/>
    <x v="2"/>
    <n v="75"/>
    <x v="4"/>
    <n v="28.248510230000001"/>
    <n v="2.573551149"/>
    <n v="26.64017685"/>
    <x v="1"/>
    <n v="53.820036729999998"/>
    <n v="67.233163730000001"/>
    <x v="551"/>
    <x v="9"/>
    <x v="1"/>
    <x v="1"/>
    <n v="2.8417564145684198"/>
    <x v="3"/>
  </r>
  <r>
    <s v="User_73"/>
    <x v="1"/>
    <n v="85"/>
    <x v="1"/>
    <n v="22.882038420000001"/>
    <n v="1.5694707139999999"/>
    <n v="29.9892225"/>
    <x v="0"/>
    <n v="15.67448547"/>
    <n v="96.597702420000005"/>
    <x v="552"/>
    <x v="8"/>
    <x v="0"/>
    <x v="0"/>
    <n v="15.739349354219112"/>
    <x v="1"/>
  </r>
  <r>
    <s v="User_730"/>
    <x v="3"/>
    <n v="62"/>
    <x v="2"/>
    <n v="53.189887650000003"/>
    <n v="1.9014576139999999"/>
    <n v="4.875602271"/>
    <x v="3"/>
    <n v="59.103916720000001"/>
    <n v="95.230174180000006"/>
    <x v="553"/>
    <x v="2"/>
    <x v="1"/>
    <x v="1"/>
    <n v="11.913619768176725"/>
    <x v="1"/>
  </r>
  <r>
    <s v="User_731"/>
    <x v="1"/>
    <n v="62"/>
    <x v="4"/>
    <n v="63.971966940000002"/>
    <n v="1.981509709"/>
    <n v="41.348897450000003"/>
    <x v="1"/>
    <n v="54.84308704"/>
    <n v="99.130495350000004"/>
    <x v="554"/>
    <x v="54"/>
    <x v="0"/>
    <x v="0"/>
    <n v="17.565546245646729"/>
    <x v="1"/>
  </r>
  <r>
    <s v="User_732"/>
    <x v="1"/>
    <n v="75"/>
    <x v="2"/>
    <n v="48.663555209999998"/>
    <n v="1.756271661"/>
    <n v="36.323727750000003"/>
    <x v="2"/>
    <n v="49.282689589999997"/>
    <n v="91.746032159999999"/>
    <x v="555"/>
    <x v="5"/>
    <x v="1"/>
    <x v="2"/>
    <n v="15.498129116672537"/>
    <x v="1"/>
  </r>
  <r>
    <s v="User_733"/>
    <x v="0"/>
    <n v="75"/>
    <x v="2"/>
    <n v="51.161768790000004"/>
    <n v="1.9245725359999999"/>
    <n v="14.898359210000001"/>
    <x v="2"/>
    <n v="40.359112449999998"/>
    <n v="79.596007020000002"/>
    <x v="556"/>
    <x v="55"/>
    <x v="0"/>
    <x v="1"/>
    <n v="15.055716960209601"/>
    <x v="1"/>
  </r>
  <r>
    <s v="User_734"/>
    <x v="4"/>
    <n v="75"/>
    <x v="0"/>
    <n v="68.244653209999996"/>
    <n v="3.3755705090000001"/>
    <n v="49.361251099999997"/>
    <x v="0"/>
    <n v="57.907994899999998"/>
    <n v="88.309384170000001"/>
    <x v="557"/>
    <x v="0"/>
    <x v="1"/>
    <x v="2"/>
    <n v="15.560492008750236"/>
    <x v="1"/>
  </r>
  <r>
    <s v="User_736"/>
    <x v="4"/>
    <n v="75"/>
    <x v="3"/>
    <n v="56.552927519999997"/>
    <n v="2.621035258"/>
    <n v="4.3400985319999998"/>
    <x v="3"/>
    <n v="29.26035319"/>
    <n v="88.253119889999994"/>
    <x v="558"/>
    <x v="9"/>
    <x v="2"/>
    <x v="2"/>
    <n v="25.021602445420264"/>
    <x v="0"/>
  </r>
  <r>
    <s v="User_737"/>
    <x v="3"/>
    <n v="85"/>
    <x v="3"/>
    <n v="16.827771590000001"/>
    <n v="2.7388169439999999"/>
    <n v="14.51128231"/>
    <x v="1"/>
    <n v="30.615241990000001"/>
    <n v="82.460981680000003"/>
    <x v="559"/>
    <x v="9"/>
    <x v="1"/>
    <x v="2"/>
    <n v="7.4158102560522989"/>
    <x v="2"/>
  </r>
  <r>
    <s v="User_739"/>
    <x v="0"/>
    <n v="100"/>
    <x v="0"/>
    <n v="6.0651617130000002"/>
    <n v="3.5977655190000002"/>
    <n v="46.623512089999998"/>
    <x v="1"/>
    <n v="19.646897289999998"/>
    <n v="71.191002740000002"/>
    <x v="560"/>
    <x v="56"/>
    <x v="0"/>
    <x v="2"/>
    <n v="3.1262333490617467"/>
    <x v="2"/>
  </r>
  <r>
    <s v="User_74"/>
    <x v="4"/>
    <n v="59.832726510000001"/>
    <x v="4"/>
    <n v="12.89488719"/>
    <n v="0.581504778"/>
    <n v="40.884098899999998"/>
    <x v="3"/>
    <n v="31.549182200000001"/>
    <n v="97.46254098"/>
    <x v="561"/>
    <x v="0"/>
    <x v="1"/>
    <x v="2"/>
    <n v="5.0854546225973003"/>
    <x v="2"/>
  </r>
  <r>
    <s v="User_740"/>
    <x v="1"/>
    <n v="62"/>
    <x v="4"/>
    <n v="10.13770944"/>
    <n v="1.582369812"/>
    <n v="36.077844710000001"/>
    <x v="0"/>
    <n v="34.892126259999998"/>
    <n v="99.871198669999998"/>
    <x v="562"/>
    <x v="11"/>
    <x v="1"/>
    <x v="0"/>
    <n v="4.084181525794464"/>
    <x v="2"/>
  </r>
  <r>
    <s v="User_741"/>
    <x v="4"/>
    <n v="75"/>
    <x v="1"/>
    <n v="62.537610530000002"/>
    <n v="3.111666692"/>
    <n v="24.187852320000001"/>
    <x v="0"/>
    <n v="14.82380811"/>
    <n v="69.84305861"/>
    <x v="563"/>
    <x v="4"/>
    <x v="2"/>
    <x v="0"/>
    <n v="25.805793445661308"/>
    <x v="0"/>
  </r>
  <r>
    <s v="User_743"/>
    <x v="4"/>
    <n v="37.329713650000002"/>
    <x v="1"/>
    <n v="16.497212040000001"/>
    <n v="1.8113551139999999"/>
    <n v="9.5549569670000007"/>
    <x v="0"/>
    <n v="50.53193933"/>
    <n v="93.953949410000007"/>
    <x v="564"/>
    <x v="5"/>
    <x v="2"/>
    <x v="2"/>
    <n v="2.6740845748142901"/>
    <x v="3"/>
  </r>
  <r>
    <s v="User_746"/>
    <x v="2"/>
    <n v="62"/>
    <x v="0"/>
    <n v="41.766648099999998"/>
    <n v="4.5926905769999999"/>
    <n v="21.833724029999999"/>
    <x v="2"/>
    <n v="42.358375619999997"/>
    <n v="51.491725709999997"/>
    <x v="565"/>
    <x v="9"/>
    <x v="1"/>
    <x v="1"/>
    <n v="2.365110398935427"/>
    <x v="3"/>
  </r>
  <r>
    <s v="User_748"/>
    <x v="2"/>
    <n v="62"/>
    <x v="3"/>
    <n v="69.439177900000004"/>
    <n v="3.659591614"/>
    <n v="16.613387660000001"/>
    <x v="0"/>
    <n v="22.71259856"/>
    <n v="50.798791440000002"/>
    <x v="566"/>
    <x v="4"/>
    <x v="2"/>
    <x v="2"/>
    <n v="12.091749292353809"/>
    <x v="1"/>
  </r>
  <r>
    <s v="User_75"/>
    <x v="1"/>
    <n v="85"/>
    <x v="0"/>
    <n v="69.169167060000007"/>
    <n v="2.2852421610000002"/>
    <n v="5.5573585090000002"/>
    <x v="2"/>
    <n v="41.089044870000002"/>
    <n v="74.399518529999995"/>
    <x v="567"/>
    <x v="7"/>
    <x v="1"/>
    <x v="1"/>
    <n v="19.584490598208291"/>
    <x v="1"/>
  </r>
  <r>
    <s v="User_750"/>
    <x v="2"/>
    <n v="81.368415830000004"/>
    <x v="0"/>
    <n v="57.977657890000003"/>
    <n v="2.8590803130000002"/>
    <n v="6.4991879350000001"/>
    <x v="0"/>
    <n v="58.308684999999997"/>
    <n v="63.866105050000002"/>
    <x v="568"/>
    <x v="4"/>
    <x v="0"/>
    <x v="2"/>
    <n v="2.6217407935222421"/>
    <x v="3"/>
  </r>
  <r>
    <s v="User_752"/>
    <x v="0"/>
    <n v="100"/>
    <x v="2"/>
    <n v="40.319061980000001"/>
    <n v="1.7436069249999999"/>
    <n v="11.76785057"/>
    <x v="0"/>
    <n v="31.09308905"/>
    <n v="86.584959499999997"/>
    <x v="569"/>
    <x v="2"/>
    <x v="1"/>
    <x v="1"/>
    <n v="22.373801640596803"/>
    <x v="0"/>
  </r>
  <r>
    <s v="User_753"/>
    <x v="3"/>
    <n v="50"/>
    <x v="3"/>
    <n v="47.19807479"/>
    <n v="2.861382946"/>
    <n v="44.336610350000001"/>
    <x v="1"/>
    <n v="65.478470110000004"/>
    <n v="84.226987030000004"/>
    <x v="570"/>
    <x v="9"/>
    <x v="2"/>
    <x v="0"/>
    <n v="4.424469518958702"/>
    <x v="2"/>
  </r>
  <r>
    <s v="User_754"/>
    <x v="2"/>
    <n v="100"/>
    <x v="4"/>
    <n v="22.515635140000001"/>
    <n v="3.5555598850000001"/>
    <n v="35.152484719999997"/>
    <x v="3"/>
    <n v="40.135780740000001"/>
    <n v="59.06838801"/>
    <x v="571"/>
    <x v="9"/>
    <x v="0"/>
    <x v="0"/>
    <n v="4.2627967754023146"/>
    <x v="2"/>
  </r>
  <r>
    <s v="User_756"/>
    <x v="2"/>
    <n v="50"/>
    <x v="3"/>
    <n v="73.505970360000006"/>
    <n v="1.83590907"/>
    <n v="30.931427790000001"/>
    <x v="2"/>
    <n v="60.774849150000001"/>
    <n v="63.566581329999998"/>
    <x v="572"/>
    <x v="0"/>
    <x v="1"/>
    <x v="0"/>
    <n v="1.0260449143806898"/>
    <x v="3"/>
  </r>
  <r>
    <s v="User_757"/>
    <x v="1"/>
    <n v="75"/>
    <x v="2"/>
    <n v="73.869362600000002"/>
    <n v="1.1968001429999999"/>
    <n v="26.08697308"/>
    <x v="1"/>
    <n v="80.698012160000005"/>
    <n v="88.20526203"/>
    <x v="573"/>
    <x v="7"/>
    <x v="2"/>
    <x v="2"/>
    <n v="4.159168220818743"/>
    <x v="2"/>
  </r>
  <r>
    <s v="User_758"/>
    <x v="4"/>
    <n v="50"/>
    <x v="0"/>
    <n v="64.377132439999997"/>
    <n v="2.314860017"/>
    <n v="15.256569199999999"/>
    <x v="2"/>
    <n v="15.58695625"/>
    <n v="98.807764509999998"/>
    <x v="574"/>
    <x v="8"/>
    <x v="2"/>
    <x v="2"/>
    <n v="26.787584975589329"/>
    <x v="0"/>
  </r>
  <r>
    <s v="User_759"/>
    <x v="1"/>
    <n v="50"/>
    <x v="4"/>
    <n v="12.010095270000001"/>
    <n v="0.75295959499999998"/>
    <n v="47.9020613"/>
    <x v="3"/>
    <n v="41.657029600000001"/>
    <n v="83.156721970000007"/>
    <x v="575"/>
    <x v="4"/>
    <x v="0"/>
    <x v="0"/>
    <n v="2.4920762951969611"/>
    <x v="3"/>
  </r>
  <r>
    <s v="User_760"/>
    <x v="4"/>
    <n v="29.594288890000001"/>
    <x v="3"/>
    <n v="36.226212410000002"/>
    <n v="3.9924273870000002"/>
    <n v="27.196487829999999"/>
    <x v="3"/>
    <n v="80.583283120000004"/>
    <n v="91.078425050000007"/>
    <x v="576"/>
    <x v="8"/>
    <x v="2"/>
    <x v="0"/>
    <n v="1.1251726168860323"/>
    <x v="3"/>
  </r>
  <r>
    <s v="User_762"/>
    <x v="2"/>
    <n v="85"/>
    <x v="2"/>
    <n v="76.580113240000003"/>
    <n v="2.6780965409999999"/>
    <n v="41.122513679999997"/>
    <x v="1"/>
    <n v="31.362587019999999"/>
    <n v="93.563426140000004"/>
    <x v="577"/>
    <x v="11"/>
    <x v="2"/>
    <x v="2"/>
    <n v="40.488452079177293"/>
    <x v="0"/>
  </r>
  <r>
    <s v="User_763"/>
    <x v="1"/>
    <n v="50"/>
    <x v="2"/>
    <n v="74.134192479999996"/>
    <n v="2.1863746740000001"/>
    <n v="47.816921360000002"/>
    <x v="0"/>
    <n v="71.904266500000006"/>
    <n v="99.364735749999994"/>
    <x v="578"/>
    <x v="9"/>
    <x v="1"/>
    <x v="2"/>
    <n v="10.1787985648531"/>
    <x v="1"/>
  </r>
  <r>
    <s v="User_764"/>
    <x v="1"/>
    <n v="100"/>
    <x v="3"/>
    <n v="73.809216640000002"/>
    <n v="2.3698694800000002"/>
    <n v="10.575938300000001"/>
    <x v="2"/>
    <n v="53.17181764"/>
    <n v="92.160418919999998"/>
    <x v="579"/>
    <x v="7"/>
    <x v="0"/>
    <x v="1"/>
    <n v="28.777181183661014"/>
    <x v="0"/>
  </r>
  <r>
    <s v="User_767"/>
    <x v="4"/>
    <n v="85"/>
    <x v="4"/>
    <n v="35.899549210000004"/>
    <n v="1.7724470290000001"/>
    <n v="12.51189727"/>
    <x v="3"/>
    <n v="16.49275287"/>
    <n v="53.084572549999997"/>
    <x v="580"/>
    <x v="7"/>
    <x v="1"/>
    <x v="2"/>
    <n v="11.165853565927655"/>
    <x v="1"/>
  </r>
  <r>
    <s v="User_768"/>
    <x v="1"/>
    <n v="62"/>
    <x v="2"/>
    <n v="48.33018276"/>
    <n v="2.1541462299999998"/>
    <n v="14.812569890000001"/>
    <x v="1"/>
    <n v="56.274595040000001"/>
    <n v="65.987030329999996"/>
    <x v="581"/>
    <x v="7"/>
    <x v="1"/>
    <x v="0"/>
    <n v="2.9103033901843149"/>
    <x v="3"/>
  </r>
  <r>
    <s v="User_771"/>
    <x v="1"/>
    <n v="50"/>
    <x v="0"/>
    <n v="40.736704799999998"/>
    <n v="2.534525414"/>
    <n v="9.8667592089999996"/>
    <x v="3"/>
    <n v="33.926486820000001"/>
    <n v="67.695331199999998"/>
    <x v="582"/>
    <x v="5"/>
    <x v="0"/>
    <x v="2"/>
    <n v="6.8781572247259941"/>
    <x v="2"/>
  </r>
  <r>
    <s v="User_772"/>
    <x v="3"/>
    <n v="62"/>
    <x v="3"/>
    <n v="11.5797708"/>
    <n v="3.6160997290000001"/>
    <n v="9.6340316159999997"/>
    <x v="3"/>
    <n v="26.10515607"/>
    <n v="71.399102790000001"/>
    <x v="583"/>
    <x v="11"/>
    <x v="1"/>
    <x v="2"/>
    <n v="3.251859834199073"/>
    <x v="2"/>
  </r>
  <r>
    <s v="User_776"/>
    <x v="3"/>
    <n v="62"/>
    <x v="0"/>
    <n v="20.51871405"/>
    <n v="3.6465830449999999"/>
    <n v="27.173537459999999"/>
    <x v="2"/>
    <n v="83.590481800000006"/>
    <n v="159.98890320000001"/>
    <x v="584"/>
    <x v="4"/>
    <x v="1"/>
    <x v="2"/>
    <n v="9.719103647983605"/>
    <x v="2"/>
  </r>
  <r>
    <s v="User_78"/>
    <x v="0"/>
    <n v="75"/>
    <x v="2"/>
    <n v="31.21888968"/>
    <n v="3.3409975919999999"/>
    <n v="30.02591267"/>
    <x v="2"/>
    <n v="39.517616760000003"/>
    <n v="71.271764640000001"/>
    <x v="585"/>
    <x v="8"/>
    <x v="2"/>
    <x v="0"/>
    <n v="7.4349692966109444"/>
    <x v="2"/>
  </r>
  <r>
    <s v="User_781"/>
    <x v="4"/>
    <n v="64.770701410000001"/>
    <x v="2"/>
    <n v="15.567795780000001"/>
    <n v="1.2220213529999999"/>
    <n v="49.639144360000003"/>
    <x v="1"/>
    <n v="54.124440900000003"/>
    <n v="58.528577660000003"/>
    <x v="586"/>
    <x v="9"/>
    <x v="1"/>
    <x v="0"/>
    <n v="0.44408542775278032"/>
    <x v="3"/>
  </r>
  <r>
    <s v="User_786"/>
    <x v="3"/>
    <n v="61.460885470000001"/>
    <x v="4"/>
    <n v="17.218744480000002"/>
    <n v="0.95752111600000001"/>
    <n v="47.746137390000001"/>
    <x v="0"/>
    <n v="53.671773950000002"/>
    <n v="76.201269159999995"/>
    <x v="587"/>
    <x v="11"/>
    <x v="0"/>
    <x v="0"/>
    <n v="2.3842498024179379"/>
    <x v="3"/>
  </r>
  <r>
    <s v="User_787"/>
    <x v="4"/>
    <n v="50"/>
    <x v="2"/>
    <n v="48.145969610000002"/>
    <n v="2.867363493"/>
    <n v="15.5216618"/>
    <x v="2"/>
    <n v="16.537180559999999"/>
    <n v="99.984860479999995"/>
    <x v="588"/>
    <x v="5"/>
    <x v="1"/>
    <x v="0"/>
    <n v="20.088347307266634"/>
    <x v="0"/>
  </r>
  <r>
    <s v="User_789"/>
    <x v="3"/>
    <n v="85"/>
    <x v="4"/>
    <n v="67.90283934"/>
    <n v="0.83531874500000003"/>
    <n v="41.067041099999997"/>
    <x v="0"/>
    <n v="45.582325660000002"/>
    <n v="87.802069689999996"/>
    <x v="589"/>
    <x v="11"/>
    <x v="1"/>
    <x v="2"/>
    <n v="24.368144214682616"/>
    <x v="0"/>
  </r>
  <r>
    <s v="User_790"/>
    <x v="3"/>
    <n v="85"/>
    <x v="0"/>
    <n v="43.254517139999997"/>
    <n v="3.2107643719999999"/>
    <n v="19.278035719999998"/>
    <x v="3"/>
    <n v="16.42986703"/>
    <n v="85.242128469999997"/>
    <x v="590"/>
    <x v="11"/>
    <x v="1"/>
    <x v="0"/>
    <n v="25.299749706138446"/>
    <x v="0"/>
  </r>
  <r>
    <s v="User_791"/>
    <x v="2"/>
    <n v="62"/>
    <x v="3"/>
    <n v="62.61550759"/>
    <n v="1.8150454"/>
    <n v="19.794649589999999"/>
    <x v="0"/>
    <n v="84.034261420000007"/>
    <n v="92.436278520000002"/>
    <x v="591"/>
    <x v="8"/>
    <x v="2"/>
    <x v="0"/>
    <n v="3.2617987060774283"/>
    <x v="2"/>
  </r>
  <r>
    <s v="User_792"/>
    <x v="1"/>
    <n v="85"/>
    <x v="2"/>
    <n v="43.82590012"/>
    <n v="3.1281282300000002"/>
    <n v="41.837462500000001"/>
    <x v="2"/>
    <n v="37.694474030000002"/>
    <n v="77.126554420000005"/>
    <x v="592"/>
    <x v="2"/>
    <x v="0"/>
    <x v="2"/>
    <n v="14.689244541915579"/>
    <x v="1"/>
  </r>
  <r>
    <s v="User_794"/>
    <x v="4"/>
    <n v="75"/>
    <x v="1"/>
    <n v="74.82644569"/>
    <n v="1.3985822109999999"/>
    <n v="43.133283460000001"/>
    <x v="0"/>
    <n v="23.7259955"/>
    <n v="53.813699319999998"/>
    <x v="593"/>
    <x v="57"/>
    <x v="2"/>
    <x v="2"/>
    <n v="16.885169518680268"/>
    <x v="1"/>
  </r>
  <r>
    <s v="User_796"/>
    <x v="4"/>
    <n v="75"/>
    <x v="4"/>
    <n v="78.895249109999995"/>
    <n v="1.2258955119999999"/>
    <n v="30.749276819999999"/>
    <x v="1"/>
    <n v="62.087646450000001"/>
    <n v="80.771378819999995"/>
    <x v="594"/>
    <x v="7"/>
    <x v="2"/>
    <x v="2"/>
    <n v="11.055432897267901"/>
    <x v="1"/>
  </r>
  <r>
    <s v="User_797"/>
    <x v="1"/>
    <n v="62"/>
    <x v="0"/>
    <n v="10.241885890000001"/>
    <n v="1.394747103"/>
    <n v="29.21621369"/>
    <x v="0"/>
    <n v="14.96166964"/>
    <n v="70.511800809999997"/>
    <x v="595"/>
    <x v="8"/>
    <x v="0"/>
    <x v="0"/>
    <n v="3.5274162486295682"/>
    <x v="2"/>
  </r>
  <r>
    <s v="User_799"/>
    <x v="2"/>
    <n v="50"/>
    <x v="2"/>
    <n v="59.922814420000002"/>
    <n v="3.7532164799999999"/>
    <n v="30.429448130000001"/>
    <x v="3"/>
    <n v="41.642751689999997"/>
    <n v="95.006958429999997"/>
    <x v="596"/>
    <x v="2"/>
    <x v="2"/>
    <x v="0"/>
    <n v="15.988667285757668"/>
    <x v="1"/>
  </r>
  <r>
    <s v="User_80"/>
    <x v="0"/>
    <n v="75"/>
    <x v="0"/>
    <n v="59.98647673"/>
    <n v="3.7293653999999998"/>
    <n v="23.417921150000002"/>
    <x v="2"/>
    <n v="88.096768460000007"/>
    <n v="96.130568589999996"/>
    <x v="597"/>
    <x v="5"/>
    <x v="1"/>
    <x v="0"/>
    <n v="3.6143952341378651"/>
    <x v="2"/>
  </r>
  <r>
    <s v="User_800"/>
    <x v="2"/>
    <n v="62"/>
    <x v="1"/>
    <n v="8.3530198559999995"/>
    <n v="3.430484458"/>
    <n v="34.719681719999997"/>
    <x v="1"/>
    <n v="13.142563109999999"/>
    <n v="97.25962097"/>
    <x v="598"/>
    <x v="2"/>
    <x v="0"/>
    <x v="0"/>
    <n v="4.356315018103861"/>
    <x v="2"/>
  </r>
  <r>
    <s v="User_801"/>
    <x v="2"/>
    <n v="58.369804520000002"/>
    <x v="3"/>
    <n v="40.762833110000003"/>
    <n v="0.93843657899999999"/>
    <n v="41.332935460000002"/>
    <x v="0"/>
    <n v="57.814680199999998"/>
    <n v="87.270686679999997"/>
    <x v="599"/>
    <x v="8"/>
    <x v="1"/>
    <x v="1"/>
    <n v="7.0085224108777266"/>
    <x v="2"/>
  </r>
  <r>
    <s v="User_802"/>
    <x v="2"/>
    <n v="85"/>
    <x v="1"/>
    <n v="18.890563369999999"/>
    <n v="1.4187837430000001"/>
    <n v="17.00535034"/>
    <x v="1"/>
    <n v="54.311471070000003"/>
    <n v="57.656032629999999"/>
    <x v="600"/>
    <x v="0"/>
    <x v="0"/>
    <x v="0"/>
    <n v="0.5370355427993907"/>
    <x v="3"/>
  </r>
  <r>
    <s v="User_804"/>
    <x v="1"/>
    <n v="62"/>
    <x v="3"/>
    <n v="12.81436315"/>
    <n v="2.5885351810000001"/>
    <n v="27.381994349999999"/>
    <x v="2"/>
    <n v="66.461341540000006"/>
    <n v="68.413094819999998"/>
    <x v="601"/>
    <x v="11"/>
    <x v="1"/>
    <x v="0"/>
    <n v="0.15506494691656583"/>
    <x v="3"/>
  </r>
  <r>
    <s v="User_805"/>
    <x v="4"/>
    <n v="75"/>
    <x v="0"/>
    <n v="8.9184187779999995"/>
    <n v="1.556936696"/>
    <n v="16.24196336"/>
    <x v="3"/>
    <n v="16.990404999999999"/>
    <n v="55.826641029999998"/>
    <x v="602"/>
    <x v="58"/>
    <x v="1"/>
    <x v="2"/>
    <n v="2.5976836250759407"/>
    <x v="3"/>
  </r>
  <r>
    <s v="User_808"/>
    <x v="2"/>
    <n v="75"/>
    <x v="3"/>
    <n v="7.8588683890000004"/>
    <n v="3.3611287060000001"/>
    <n v="4.8303716769999996"/>
    <x v="1"/>
    <n v="81.865503469999993"/>
    <n v="96.132312069999998"/>
    <x v="603"/>
    <x v="5"/>
    <x v="1"/>
    <x v="0"/>
    <n v="0.84090728338840037"/>
    <x v="3"/>
  </r>
  <r>
    <s v="User_809"/>
    <x v="3"/>
    <n v="75"/>
    <x v="3"/>
    <n v="70.171354600000001"/>
    <n v="3.8279458320000002"/>
    <n v="12.962522180000001"/>
    <x v="0"/>
    <n v="11.95265429"/>
    <n v="52.682665440000001"/>
    <x v="604"/>
    <x v="59"/>
    <x v="2"/>
    <x v="1"/>
    <n v="21.435600414514528"/>
    <x v="0"/>
  </r>
  <r>
    <s v="User_81"/>
    <x v="1"/>
    <n v="48.050694729999996"/>
    <x v="4"/>
    <n v="51.67374779"/>
    <n v="0.69175536400000004"/>
    <n v="46.595678409999998"/>
    <x v="2"/>
    <n v="55.072174080000003"/>
    <n v="62.935780110000003"/>
    <x v="605"/>
    <x v="2"/>
    <x v="2"/>
    <x v="1"/>
    <n v="1.9525015143988562"/>
    <x v="3"/>
  </r>
  <r>
    <s v="User_810"/>
    <x v="1"/>
    <n v="62"/>
    <x v="2"/>
    <n v="15.187432129999999"/>
    <n v="2.7345975710000001"/>
    <n v="13.08002299"/>
    <x v="1"/>
    <n v="11.883222740000001"/>
    <n v="59.529633070000003"/>
    <x v="606"/>
    <x v="0"/>
    <x v="2"/>
    <x v="1"/>
    <n v="4.4864850633750368"/>
    <x v="2"/>
  </r>
  <r>
    <s v="User_811"/>
    <x v="0"/>
    <n v="85"/>
    <x v="1"/>
    <n v="77.861316130000006"/>
    <n v="0.70653664599999999"/>
    <n v="30.14418744"/>
    <x v="0"/>
    <n v="63.104342950000003"/>
    <n v="66.612413459999999"/>
    <x v="607"/>
    <x v="5"/>
    <x v="1"/>
    <x v="2"/>
    <n v="2.3217153893762408"/>
    <x v="3"/>
  </r>
  <r>
    <s v="User_812"/>
    <x v="4"/>
    <n v="62"/>
    <x v="3"/>
    <n v="37.189293650000003"/>
    <n v="1.228841335"/>
    <n v="3.8566921669999998"/>
    <x v="3"/>
    <n v="49.069558960000002"/>
    <n v="85.101169409999997"/>
    <x v="608"/>
    <x v="60"/>
    <x v="2"/>
    <x v="1"/>
    <n v="8.3079388785862438"/>
    <x v="2"/>
  </r>
  <r>
    <s v="User_813"/>
    <x v="3"/>
    <n v="62"/>
    <x v="1"/>
    <n v="25.711923930000001"/>
    <n v="2.3093277169999999"/>
    <n v="32.620907770000002"/>
    <x v="0"/>
    <n v="37.092955699999997"/>
    <n v="84.740887650000005"/>
    <x v="609"/>
    <x v="4"/>
    <x v="0"/>
    <x v="1"/>
    <n v="7.595744010665344"/>
    <x v="2"/>
  </r>
  <r>
    <s v="User_817"/>
    <x v="3"/>
    <n v="100"/>
    <x v="0"/>
    <n v="53.648424429999999"/>
    <n v="3.408542212"/>
    <n v="47.290355249999998"/>
    <x v="0"/>
    <n v="21.45527057"/>
    <n v="98.163915849999995"/>
    <x v="610"/>
    <x v="0"/>
    <x v="0"/>
    <x v="0"/>
    <n v="41.152979594317557"/>
    <x v="0"/>
  </r>
  <r>
    <s v="User_819"/>
    <x v="1"/>
    <n v="100"/>
    <x v="3"/>
    <n v="71.162504339999998"/>
    <n v="1.202607322"/>
    <n v="44.744862650000002"/>
    <x v="2"/>
    <n v="48.963543960000003"/>
    <n v="92.5723725"/>
    <x v="611"/>
    <x v="61"/>
    <x v="1"/>
    <x v="1"/>
    <n v="31.033134502400657"/>
    <x v="0"/>
  </r>
  <r>
    <s v="User_822"/>
    <x v="0"/>
    <n v="100"/>
    <x v="4"/>
    <n v="8.7516700190000005"/>
    <n v="3.1355357019999999"/>
    <n v="11.595383269999999"/>
    <x v="3"/>
    <n v="53.357182989999998"/>
    <n v="91.293171760000007"/>
    <x v="612"/>
    <x v="5"/>
    <x v="0"/>
    <x v="2"/>
    <n v="3.3200325555952981"/>
    <x v="2"/>
  </r>
  <r>
    <s v="User_823"/>
    <x v="4"/>
    <n v="100"/>
    <x v="1"/>
    <n v="31.888072340000001"/>
    <n v="1.388571419"/>
    <n v="39.837174079999997"/>
    <x v="0"/>
    <n v="23.174795169999999"/>
    <n v="56.489990040000002"/>
    <x v="613"/>
    <x v="7"/>
    <x v="2"/>
    <x v="0"/>
    <n v="10.623573440357568"/>
    <x v="1"/>
  </r>
  <r>
    <s v="User_824"/>
    <x v="2"/>
    <n v="50"/>
    <x v="1"/>
    <n v="64.043772700000005"/>
    <n v="0.53041932300000005"/>
    <n v="46.351653859999999"/>
    <x v="3"/>
    <n v="10.96041067"/>
    <n v="99.444378580000006"/>
    <x v="614"/>
    <x v="5"/>
    <x v="2"/>
    <x v="2"/>
    <n v="28.334235642110674"/>
    <x v="0"/>
  </r>
  <r>
    <s v="User_827"/>
    <x v="4"/>
    <n v="100"/>
    <x v="3"/>
    <n v="72.798500680000004"/>
    <n v="3.6753647420000002"/>
    <n v="15.442091209999999"/>
    <x v="0"/>
    <n v="85.323239999999998"/>
    <n v="90.166056350000005"/>
    <x v="615"/>
    <x v="4"/>
    <x v="2"/>
    <x v="1"/>
    <n v="3.5254976934859066"/>
    <x v="2"/>
  </r>
  <r>
    <s v="User_828"/>
    <x v="0"/>
    <n v="85"/>
    <x v="4"/>
    <n v="67.887574279999995"/>
    <n v="1.945335136"/>
    <n v="30.126701910000001"/>
    <x v="3"/>
    <n v="32.612145480000002"/>
    <n v="58.444104330000002"/>
    <x v="616"/>
    <x v="8"/>
    <x v="2"/>
    <x v="2"/>
    <n v="14.906186714431863"/>
    <x v="1"/>
  </r>
  <r>
    <s v="User_829"/>
    <x v="4"/>
    <n v="75"/>
    <x v="3"/>
    <n v="41.24835865"/>
    <n v="2.8276111660000001"/>
    <n v="32.950837180000001"/>
    <x v="3"/>
    <n v="18.352147380000002"/>
    <n v="50.601029509999996"/>
    <x v="617"/>
    <x v="4"/>
    <x v="0"/>
    <x v="1"/>
    <n v="9.9766009211986191"/>
    <x v="2"/>
  </r>
  <r>
    <s v="User_830"/>
    <x v="3"/>
    <n v="100"/>
    <x v="3"/>
    <n v="35.024111189999999"/>
    <n v="0.91867242400000004"/>
    <n v="32.092788480000003"/>
    <x v="0"/>
    <n v="15.989490350000001"/>
    <n v="91.813419909999993"/>
    <x v="618"/>
    <x v="62"/>
    <x v="1"/>
    <x v="2"/>
    <n v="26.556657397721676"/>
    <x v="0"/>
  </r>
  <r>
    <s v="User_831"/>
    <x v="0"/>
    <n v="100"/>
    <x v="1"/>
    <n v="54.913205660000003"/>
    <n v="2.040456464"/>
    <n v="7.6003728480000001"/>
    <x v="0"/>
    <n v="40.234728509999997"/>
    <n v="86.300402199999994"/>
    <x v="619"/>
    <x v="11"/>
    <x v="0"/>
    <x v="1"/>
    <n v="25.29613813205421"/>
    <x v="0"/>
  </r>
  <r>
    <s v="User_832"/>
    <x v="2"/>
    <n v="75"/>
    <x v="4"/>
    <n v="51.023353"/>
    <n v="3.034842754"/>
    <n v="45.801499440000001"/>
    <x v="2"/>
    <n v="50.762355730000003"/>
    <n v="61.774039780000003"/>
    <x v="620"/>
    <x v="11"/>
    <x v="1"/>
    <x v="1"/>
    <n v="4.2138978180571476"/>
    <x v="2"/>
  </r>
  <r>
    <s v="User_833"/>
    <x v="4"/>
    <n v="12.033336970000001"/>
    <x v="3"/>
    <n v="62.633592530000001"/>
    <n v="0.66885443099999997"/>
    <n v="9.0385071099999994"/>
    <x v="0"/>
    <n v="14.33606471"/>
    <n v="94.939859709999993"/>
    <x v="621"/>
    <x v="5"/>
    <x v="0"/>
    <x v="1"/>
    <n v="6.0750364896963971"/>
    <x v="2"/>
  </r>
  <r>
    <s v="User_837"/>
    <x v="4"/>
    <n v="100"/>
    <x v="4"/>
    <n v="47.200215550000003"/>
    <n v="4.1464979499999997"/>
    <n v="43.114779830000003"/>
    <x v="2"/>
    <n v="36.351207350000003"/>
    <n v="90.257368659999997"/>
    <x v="622"/>
    <x v="4"/>
    <x v="1"/>
    <x v="1"/>
    <n v="25.443824333050699"/>
    <x v="0"/>
  </r>
  <r>
    <s v="User_839"/>
    <x v="2"/>
    <n v="75"/>
    <x v="4"/>
    <n v="18.529060699999999"/>
    <n v="2.336419695"/>
    <n v="6.3463350749999998"/>
    <x v="0"/>
    <n v="49.892801669999997"/>
    <n v="52.107077850000003"/>
    <x v="623"/>
    <x v="11"/>
    <x v="1"/>
    <x v="2"/>
    <n v="0.30771343309338173"/>
    <x v="3"/>
  </r>
  <r>
    <s v="User_84"/>
    <x v="1"/>
    <n v="62"/>
    <x v="3"/>
    <n v="32.832956830000001"/>
    <n v="3.408638345"/>
    <n v="44.492366140000001"/>
    <x v="3"/>
    <n v="26.65472205"/>
    <n v="63.710626920000003"/>
    <x v="624"/>
    <x v="11"/>
    <x v="2"/>
    <x v="1"/>
    <n v="7.5432605343384411"/>
    <x v="2"/>
  </r>
  <r>
    <s v="User_840"/>
    <x v="2"/>
    <n v="75"/>
    <x v="3"/>
    <n v="20.026313859999998"/>
    <n v="1.8269336869999999"/>
    <n v="41.617842150000001"/>
    <x v="3"/>
    <n v="20.45340921"/>
    <n v="35.974079019999998"/>
    <x v="625"/>
    <x v="7"/>
    <x v="2"/>
    <x v="0"/>
    <n v="2.3311635369936488"/>
    <x v="3"/>
  </r>
  <r>
    <s v="User_842"/>
    <x v="1"/>
    <n v="100"/>
    <x v="3"/>
    <n v="47.995751660000003"/>
    <n v="2.6912705190000001"/>
    <n v="39.154830349999997"/>
    <x v="0"/>
    <n v="54.786791000000001"/>
    <n v="78.983741390000006"/>
    <x v="626"/>
    <x v="0"/>
    <x v="1"/>
    <x v="2"/>
    <n v="11.613508218477804"/>
    <x v="1"/>
  </r>
  <r>
    <s v="User_843"/>
    <x v="3"/>
    <n v="100"/>
    <x v="3"/>
    <n v="60.704804709999998"/>
    <n v="3.072487534"/>
    <n v="8.3648230510000001"/>
    <x v="0"/>
    <n v="51.67016366"/>
    <n v="69.688096060000007"/>
    <x v="627"/>
    <x v="9"/>
    <x v="1"/>
    <x v="0"/>
    <n v="10.937750676199819"/>
    <x v="1"/>
  </r>
  <r>
    <s v="User_846"/>
    <x v="1"/>
    <n v="75"/>
    <x v="3"/>
    <n v="44.8755734"/>
    <n v="1.6791984280000001"/>
    <n v="9.7661498800000004"/>
    <x v="1"/>
    <n v="62.890811749999997"/>
    <n v="65.648348639999995"/>
    <x v="628"/>
    <x v="63"/>
    <x v="1"/>
    <x v="0"/>
    <n v="0.92809536832801953"/>
    <x v="3"/>
  </r>
  <r>
    <s v="User_848"/>
    <x v="2"/>
    <n v="50"/>
    <x v="1"/>
    <n v="24.79706406"/>
    <n v="3.8207884939999999"/>
    <n v="36.218283220000004"/>
    <x v="0"/>
    <n v="20.93846607"/>
    <n v="31.80402101"/>
    <x v="629"/>
    <x v="2"/>
    <x v="2"/>
    <x v="0"/>
    <n v="1.3471693094731472"/>
    <x v="3"/>
  </r>
  <r>
    <s v="User_85"/>
    <x v="3"/>
    <n v="50"/>
    <x v="0"/>
    <n v="57.924450040000004"/>
    <n v="1.2611172930000001"/>
    <n v="12.538161909999999"/>
    <x v="1"/>
    <n v="49.872034050000003"/>
    <n v="54.261433019999998"/>
    <x v="630"/>
    <x v="11"/>
    <x v="1"/>
    <x v="1"/>
    <n v="1.2712676067169608"/>
    <x v="3"/>
  </r>
  <r>
    <s v="User_851"/>
    <x v="2"/>
    <n v="62"/>
    <x v="0"/>
    <n v="22.572882450000002"/>
    <n v="2.9601474900000002"/>
    <n v="25.291575949999999"/>
    <x v="3"/>
    <n v="51.550008419999997"/>
    <n v="74.144402099999994"/>
    <x v="631"/>
    <x v="5"/>
    <x v="1"/>
    <x v="0"/>
    <n v="3.1621276739195099"/>
    <x v="2"/>
  </r>
  <r>
    <s v="User_852"/>
    <x v="1"/>
    <n v="96.60872071"/>
    <x v="4"/>
    <n v="56.516455880000002"/>
    <n v="3.003171547"/>
    <n v="47.829480459999999"/>
    <x v="0"/>
    <n v="58.109374150000001"/>
    <n v="83.744384080000003"/>
    <x v="632"/>
    <x v="5"/>
    <x v="1"/>
    <x v="1"/>
    <n v="13.996670564691021"/>
    <x v="1"/>
  </r>
  <r>
    <s v="User_854"/>
    <x v="4"/>
    <n v="85"/>
    <x v="3"/>
    <n v="76.449907109999998"/>
    <n v="2.272736337"/>
    <n v="20.55231728"/>
    <x v="0"/>
    <n v="18.761399359999999"/>
    <n v="62.33419327"/>
    <x v="633"/>
    <x v="8"/>
    <x v="0"/>
    <x v="2"/>
    <n v="28.314656399012723"/>
    <x v="0"/>
  </r>
  <r>
    <s v="User_856"/>
    <x v="0"/>
    <n v="100"/>
    <x v="1"/>
    <n v="55.782595729999997"/>
    <n v="1.279709491"/>
    <n v="5.5921960579999999"/>
    <x v="3"/>
    <n v="50.337589289999997"/>
    <n v="86.23333848"/>
    <x v="634"/>
    <x v="11"/>
    <x v="1"/>
    <x v="1"/>
    <n v="20.02358065491245"/>
    <x v="0"/>
  </r>
  <r>
    <s v="User_858"/>
    <x v="0"/>
    <n v="73.850027159999996"/>
    <x v="1"/>
    <n v="37.055621590000001"/>
    <n v="1.6833729719999999"/>
    <n v="7.3224185390000001"/>
    <x v="0"/>
    <n v="34.218319520000001"/>
    <n v="63.348097009999996"/>
    <x v="635"/>
    <x v="2"/>
    <x v="2"/>
    <x v="2"/>
    <n v="7.971534487895644"/>
    <x v="2"/>
  </r>
  <r>
    <s v="User_86"/>
    <x v="3"/>
    <n v="100"/>
    <x v="1"/>
    <n v="21.65616412"/>
    <n v="1.8944268879999999"/>
    <n v="32.954510820000003"/>
    <x v="2"/>
    <n v="78.434628259999997"/>
    <n v="97.725440359999993"/>
    <x v="636"/>
    <x v="8"/>
    <x v="1"/>
    <x v="1"/>
    <n v="4.1776499284568178"/>
    <x v="2"/>
  </r>
  <r>
    <s v="User_860"/>
    <x v="2"/>
    <n v="75"/>
    <x v="0"/>
    <n v="44.769741920000001"/>
    <n v="0.64069541900000004"/>
    <n v="20.590235580000002"/>
    <x v="0"/>
    <n v="64.110146850000007"/>
    <n v="90.552147090000005"/>
    <x v="637"/>
    <x v="0"/>
    <x v="2"/>
    <x v="0"/>
    <n v="8.8785114494503361"/>
    <x v="2"/>
  </r>
  <r>
    <s v="User_862"/>
    <x v="4"/>
    <n v="53.973658659999998"/>
    <x v="1"/>
    <n v="65.120425749999995"/>
    <n v="2.4260583769999999"/>
    <n v="12.309725070000001"/>
    <x v="1"/>
    <n v="10.42770632"/>
    <n v="107.093968"/>
    <x v="638"/>
    <x v="2"/>
    <x v="0"/>
    <x v="0"/>
    <n v="33.976138090956276"/>
    <x v="0"/>
  </r>
  <r>
    <s v="User_863"/>
    <x v="2"/>
    <n v="50"/>
    <x v="1"/>
    <n v="64.000021169999997"/>
    <n v="3.4456218110000001"/>
    <n v="30.22669453"/>
    <x v="3"/>
    <n v="25.461538149999999"/>
    <n v="89.741978739999993"/>
    <x v="639"/>
    <x v="5"/>
    <x v="0"/>
    <x v="1"/>
    <n v="20.569747792884638"/>
    <x v="0"/>
  </r>
  <r>
    <s v="User_864"/>
    <x v="4"/>
    <n v="85"/>
    <x v="2"/>
    <n v="5.0138896470000001"/>
    <n v="1.012339128"/>
    <n v="46.875109639999998"/>
    <x v="1"/>
    <n v="12.62370187"/>
    <n v="93.114478730000002"/>
    <x v="640"/>
    <x v="11"/>
    <x v="0"/>
    <x v="2"/>
    <n v="3.4303609186074002"/>
    <x v="2"/>
  </r>
  <r>
    <s v="User_868"/>
    <x v="1"/>
    <n v="75"/>
    <x v="0"/>
    <n v="40.257196880000002"/>
    <n v="1.441548759"/>
    <n v="17.947394589999998"/>
    <x v="2"/>
    <n v="28.84132949"/>
    <n v="85.275302710000005"/>
    <x v="641"/>
    <x v="9"/>
    <x v="2"/>
    <x v="2"/>
    <n v="17.039051779786412"/>
    <x v="1"/>
  </r>
  <r>
    <s v="User_870"/>
    <x v="0"/>
    <n v="85"/>
    <x v="4"/>
    <n v="54.884964510000003"/>
    <n v="3.036137885"/>
    <n v="15.014209060000001"/>
    <x v="1"/>
    <n v="88.507897369999995"/>
    <n v="94.472198640000002"/>
    <x v="642"/>
    <x v="4"/>
    <x v="2"/>
    <x v="1"/>
    <n v="2.782478940012636"/>
    <x v="3"/>
  </r>
  <r>
    <s v="User_872"/>
    <x v="0"/>
    <n v="100"/>
    <x v="2"/>
    <n v="55.655332790000003"/>
    <n v="1.6789749890000001"/>
    <n v="30.40482982"/>
    <x v="0"/>
    <n v="11.01254162"/>
    <n v="59.816511200000001"/>
    <x v="643"/>
    <x v="0"/>
    <x v="1"/>
    <x v="2"/>
    <n v="27.162011684479367"/>
    <x v="0"/>
  </r>
  <r>
    <s v="User_873"/>
    <x v="3"/>
    <n v="85"/>
    <x v="3"/>
    <n v="48.757672599999999"/>
    <n v="2.5168865330000001"/>
    <n v="34.481230719999999"/>
    <x v="3"/>
    <n v="18.65763389"/>
    <n v="51.647859740000001"/>
    <x v="644"/>
    <x v="4"/>
    <x v="0"/>
    <x v="2"/>
    <n v="13.672476363452033"/>
    <x v="1"/>
  </r>
  <r>
    <s v="User_874"/>
    <x v="0"/>
    <n v="85"/>
    <x v="2"/>
    <n v="72.958181049999993"/>
    <n v="2.9178266850000001"/>
    <n v="29.990454830000001"/>
    <x v="2"/>
    <n v="40.212076070000002"/>
    <n v="62.269598000000002"/>
    <x v="645"/>
    <x v="8"/>
    <x v="1"/>
    <x v="2"/>
    <n v="13.678851767107925"/>
    <x v="1"/>
  </r>
  <r>
    <s v="User_876"/>
    <x v="0"/>
    <n v="62"/>
    <x v="3"/>
    <n v="56.520376679999998"/>
    <n v="2.296980268"/>
    <n v="12.8885881"/>
    <x v="2"/>
    <n v="31.167956329999999"/>
    <n v="68.264363009999997"/>
    <x v="646"/>
    <x v="11"/>
    <x v="0"/>
    <x v="1"/>
    <n v="12.999557849974023"/>
    <x v="1"/>
  </r>
  <r>
    <s v="User_878"/>
    <x v="4"/>
    <n v="26.136510250000001"/>
    <x v="3"/>
    <n v="28.78049141"/>
    <n v="0.77131198400000001"/>
    <n v="7.4467686339999997"/>
    <x v="0"/>
    <n v="27.239475599999999"/>
    <n v="94.997443709999999"/>
    <x v="647"/>
    <x v="2"/>
    <x v="0"/>
    <x v="2"/>
    <n v="5.0969007776488562"/>
    <x v="2"/>
  </r>
  <r>
    <s v="User_880"/>
    <x v="2"/>
    <n v="62"/>
    <x v="1"/>
    <n v="51.085392669999997"/>
    <n v="0.94975610300000002"/>
    <n v="25.83848785"/>
    <x v="1"/>
    <n v="44.701872129999998"/>
    <n v="82.628539099999998"/>
    <x v="648"/>
    <x v="5"/>
    <x v="0"/>
    <x v="2"/>
    <n v="12.012491783925968"/>
    <x v="1"/>
  </r>
  <r>
    <s v="User_882"/>
    <x v="1"/>
    <n v="62"/>
    <x v="0"/>
    <n v="77.45420996"/>
    <n v="3.3082619279999999"/>
    <n v="29.413406689999999"/>
    <x v="2"/>
    <n v="80.652551090000003"/>
    <n v="90.08739344"/>
    <x v="649"/>
    <x v="7"/>
    <x v="1"/>
    <x v="2"/>
    <n v="4.5307632139616771"/>
    <x v="2"/>
  </r>
  <r>
    <s v="User_883"/>
    <x v="2"/>
    <n v="62"/>
    <x v="4"/>
    <n v="68.21934426"/>
    <n v="0.88645038099999995"/>
    <n v="14.88435406"/>
    <x v="0"/>
    <n v="38.038902710000002"/>
    <n v="62.463097859999998"/>
    <x v="650"/>
    <x v="7"/>
    <x v="1"/>
    <x v="1"/>
    <n v="10.330455978709885"/>
    <x v="1"/>
  </r>
  <r>
    <s v="User_885"/>
    <x v="3"/>
    <n v="88.869224070000001"/>
    <x v="0"/>
    <n v="20.17078858"/>
    <n v="2.4504515659999999"/>
    <n v="40.420781959999999"/>
    <x v="1"/>
    <n v="31.556926300000001"/>
    <n v="97.827931950000007"/>
    <x v="651"/>
    <x v="0"/>
    <x v="0"/>
    <x v="0"/>
    <n v="11.879490829838774"/>
    <x v="1"/>
  </r>
  <r>
    <s v="User_887"/>
    <x v="4"/>
    <n v="85"/>
    <x v="1"/>
    <n v="76.953489079999997"/>
    <n v="3.4432371310000001"/>
    <n v="36.810730040000003"/>
    <x v="0"/>
    <n v="66.791983819999999"/>
    <n v="76.504106710000002"/>
    <x v="652"/>
    <x v="2"/>
    <x v="1"/>
    <x v="0"/>
    <n v="6.3527448134534827"/>
    <x v="2"/>
  </r>
  <r>
    <s v="User_889"/>
    <x v="4"/>
    <n v="85"/>
    <x v="2"/>
    <n v="47.630411819999999"/>
    <n v="1.54969567"/>
    <n v="26.012469410000001"/>
    <x v="0"/>
    <n v="18.16488828"/>
    <n v="114.52564719999999"/>
    <x v="653"/>
    <x v="8"/>
    <x v="2"/>
    <x v="0"/>
    <n v="39.012472360502372"/>
    <x v="0"/>
  </r>
  <r>
    <s v="User_890"/>
    <x v="0"/>
    <n v="100"/>
    <x v="3"/>
    <n v="51.737131529999999"/>
    <n v="1.3552853"/>
    <n v="26.691946659999999"/>
    <x v="0"/>
    <n v="42.492679189999997"/>
    <n v="93.299046450000006"/>
    <x v="654"/>
    <x v="8"/>
    <x v="0"/>
    <x v="1"/>
    <n v="26.28575705492106"/>
    <x v="0"/>
  </r>
  <r>
    <s v="User_891"/>
    <x v="4"/>
    <n v="75"/>
    <x v="3"/>
    <n v="41.88651471"/>
    <n v="3.7411159409999999"/>
    <n v="23.022124689999998"/>
    <x v="1"/>
    <n v="59.315211400000003"/>
    <n v="94.753055189999998"/>
    <x v="655"/>
    <x v="8"/>
    <x v="2"/>
    <x v="1"/>
    <n v="11.132758239003879"/>
    <x v="1"/>
  </r>
  <r>
    <s v="User_892"/>
    <x v="1"/>
    <n v="85"/>
    <x v="4"/>
    <n v="71.955690720000007"/>
    <n v="1.6557431789999999"/>
    <n v="39.215785429999997"/>
    <x v="3"/>
    <n v="30.70091781"/>
    <n v="98.237294570000003"/>
    <x v="656"/>
    <x v="2"/>
    <x v="2"/>
    <x v="2"/>
    <n v="41.306826427181619"/>
    <x v="0"/>
  </r>
  <r>
    <s v="User_893"/>
    <x v="4"/>
    <n v="100"/>
    <x v="0"/>
    <n v="39.932764659999997"/>
    <n v="2.705918848"/>
    <n v="49.116609269999998"/>
    <x v="1"/>
    <n v="43.608242509999997"/>
    <n v="54.320168019999997"/>
    <x v="657"/>
    <x v="4"/>
    <x v="0"/>
    <x v="0"/>
    <n v="4.2775680044628048"/>
    <x v="2"/>
  </r>
  <r>
    <s v="User_894"/>
    <x v="0"/>
    <n v="85"/>
    <x v="4"/>
    <n v="30.576281980000001"/>
    <n v="1.0137325260000001"/>
    <n v="49.461382360000002"/>
    <x v="0"/>
    <n v="12.86588701"/>
    <n v="85.478005249999995"/>
    <x v="658"/>
    <x v="9"/>
    <x v="0"/>
    <x v="1"/>
    <n v="18.871773121006402"/>
    <x v="1"/>
  </r>
  <r>
    <s v="User_898"/>
    <x v="3"/>
    <n v="62"/>
    <x v="1"/>
    <n v="60.718153999999998"/>
    <n v="2.1941605659999999"/>
    <n v="18.494906749999998"/>
    <x v="3"/>
    <n v="35.267181100000002"/>
    <n v="59.633732780000003"/>
    <x v="659"/>
    <x v="5"/>
    <x v="2"/>
    <x v="1"/>
    <n v="9.1728506316022322"/>
    <x v="2"/>
  </r>
  <r>
    <s v="User_9"/>
    <x v="2"/>
    <n v="62"/>
    <x v="4"/>
    <n v="43.592372279999999"/>
    <n v="1.724203599"/>
    <n v="14.29492293"/>
    <x v="0"/>
    <n v="33.466200260000001"/>
    <n v="92.961420899999993"/>
    <x v="660"/>
    <x v="7"/>
    <x v="1"/>
    <x v="0"/>
    <n v="16.079934403521641"/>
    <x v="1"/>
  </r>
  <r>
    <s v="User_90"/>
    <x v="2"/>
    <n v="75"/>
    <x v="3"/>
    <n v="27.84315247"/>
    <n v="2.5431396610000001"/>
    <n v="17.004643850000001"/>
    <x v="3"/>
    <n v="47.992183349999998"/>
    <n v="85.865186890000004"/>
    <x v="661"/>
    <x v="2"/>
    <x v="2"/>
    <x v="1"/>
    <n v="7.9087785904580237"/>
    <x v="2"/>
  </r>
  <r>
    <s v="User_902"/>
    <x v="3"/>
    <n v="85"/>
    <x v="1"/>
    <n v="50.922568390000002"/>
    <n v="2.7450650699999999"/>
    <n v="43.409301509999999"/>
    <x v="3"/>
    <n v="15.914269190000001"/>
    <n v="82.344795840000003"/>
    <x v="662"/>
    <x v="7"/>
    <x v="0"/>
    <x v="0"/>
    <n v="28.753910810405912"/>
    <x v="0"/>
  </r>
  <r>
    <s v="User_903"/>
    <x v="1"/>
    <n v="100"/>
    <x v="1"/>
    <n v="58.924435649999999"/>
    <n v="2.2011577610000002"/>
    <n v="33.52721537"/>
    <x v="1"/>
    <n v="40.211470929999997"/>
    <n v="58.327422489999996"/>
    <x v="663"/>
    <x v="0"/>
    <x v="2"/>
    <x v="0"/>
    <n v="10.674722219357371"/>
    <x v="1"/>
  </r>
  <r>
    <s v="User_906"/>
    <x v="4"/>
    <n v="50"/>
    <x v="3"/>
    <n v="31.10226145"/>
    <n v="0.99384228799999996"/>
    <n v="40.14362963"/>
    <x v="0"/>
    <n v="55.591763129999997"/>
    <n v="99.505139709999995"/>
    <x v="664"/>
    <x v="5"/>
    <x v="0"/>
    <x v="2"/>
    <n v="6.8290265977173341"/>
    <x v="2"/>
  </r>
  <r>
    <s v="User_908"/>
    <x v="2"/>
    <n v="75"/>
    <x v="3"/>
    <n v="27.69441145"/>
    <n v="1.402180604"/>
    <n v="47.326246740000002"/>
    <x v="1"/>
    <n v="27.043739739999999"/>
    <n v="65.830296279999999"/>
    <x v="665"/>
    <x v="9"/>
    <x v="2"/>
    <x v="1"/>
    <n v="8.0562814166058629"/>
    <x v="2"/>
  </r>
  <r>
    <s v="User_909"/>
    <x v="3"/>
    <n v="100"/>
    <x v="1"/>
    <n v="50.51448559"/>
    <n v="2.2287292590000001"/>
    <n v="19.086494739999999"/>
    <x v="3"/>
    <n v="12.87037454"/>
    <n v="50.66155354"/>
    <x v="666"/>
    <x v="0"/>
    <x v="1"/>
    <x v="0"/>
    <n v="19.090019670246107"/>
    <x v="1"/>
  </r>
  <r>
    <s v="User_91"/>
    <x v="2"/>
    <n v="50"/>
    <x v="3"/>
    <n v="28.440773920000002"/>
    <n v="1.079658655"/>
    <n v="42.425126830000004"/>
    <x v="3"/>
    <n v="13.6672408"/>
    <n v="96.346034619999998"/>
    <x v="667"/>
    <x v="5"/>
    <x v="2"/>
    <x v="2"/>
    <n v="11.757244415064566"/>
    <x v="1"/>
  </r>
  <r>
    <s v="User_912"/>
    <x v="2"/>
    <n v="58.335159820000001"/>
    <x v="1"/>
    <n v="39.686765780000002"/>
    <n v="1.4029154029999999"/>
    <n v="4.3193301269999997"/>
    <x v="0"/>
    <n v="37.05047751"/>
    <n v="86.273884460000005"/>
    <x v="668"/>
    <x v="9"/>
    <x v="1"/>
    <x v="1"/>
    <n v="11.395877438782193"/>
    <x v="1"/>
  </r>
  <r>
    <s v="User_913"/>
    <x v="2"/>
    <n v="50"/>
    <x v="3"/>
    <n v="6.8180194270000003"/>
    <n v="3.0616646969999999"/>
    <n v="17.69489402"/>
    <x v="1"/>
    <n v="21.3897795"/>
    <n v="50.855729289999999"/>
    <x v="669"/>
    <x v="8"/>
    <x v="2"/>
    <x v="2"/>
    <n v="1.0044970905161328"/>
    <x v="3"/>
  </r>
  <r>
    <s v="User_914"/>
    <x v="3"/>
    <n v="50"/>
    <x v="4"/>
    <n v="55.171528260000002"/>
    <n v="2.2857938949999999"/>
    <n v="8.4033617019999998"/>
    <x v="0"/>
    <n v="40.124826519999999"/>
    <n v="67.161387640000001"/>
    <x v="670"/>
    <x v="2"/>
    <x v="1"/>
    <x v="0"/>
    <n v="7.4582419794264867"/>
    <x v="2"/>
  </r>
  <r>
    <s v="User_915"/>
    <x v="0"/>
    <n v="101.02319919999999"/>
    <x v="4"/>
    <n v="152.23875799999999"/>
    <n v="0.71029805000000001"/>
    <n v="36.092286260000002"/>
    <x v="3"/>
    <n v="13.795797990000001"/>
    <n v="58.932099530000002"/>
    <x v="671"/>
    <x v="4"/>
    <x v="0"/>
    <x v="0"/>
    <n v="69.418035637837832"/>
    <x v="0"/>
  </r>
  <r>
    <s v="User_917"/>
    <x v="2"/>
    <n v="76.336590549999997"/>
    <x v="4"/>
    <n v="16.376371079999998"/>
    <n v="0.86398449600000005"/>
    <n v="33.300565550000002"/>
    <x v="3"/>
    <n v="70.551750170000005"/>
    <n v="76.775387769999995"/>
    <x v="672"/>
    <x v="64"/>
    <x v="1"/>
    <x v="0"/>
    <n v="0.77802710195911895"/>
    <x v="3"/>
  </r>
  <r>
    <s v="User_918"/>
    <x v="3"/>
    <n v="50"/>
    <x v="0"/>
    <n v="37.610115030000003"/>
    <n v="3.4417237790000001"/>
    <n v="21.06766867"/>
    <x v="3"/>
    <n v="30.602836020000002"/>
    <n v="101.9051814"/>
    <x v="673"/>
    <x v="11"/>
    <x v="0"/>
    <x v="0"/>
    <n v="13.408447058252948"/>
    <x v="1"/>
  </r>
  <r>
    <s v="User_92"/>
    <x v="3"/>
    <n v="62"/>
    <x v="2"/>
    <n v="68.573024709999999"/>
    <n v="2.9303906460000002"/>
    <n v="5.454692702"/>
    <x v="0"/>
    <n v="50.31669101"/>
    <n v="93.893450349999995"/>
    <x v="674"/>
    <x v="7"/>
    <x v="1"/>
    <x v="0"/>
    <n v="18.526779209021967"/>
    <x v="1"/>
  </r>
  <r>
    <s v="User_920"/>
    <x v="0"/>
    <n v="75"/>
    <x v="1"/>
    <n v="51.891279400000002"/>
    <n v="1.854179252"/>
    <n v="29.90089219"/>
    <x v="3"/>
    <n v="15.751627239999999"/>
    <n v="57.050482109999997"/>
    <x v="675"/>
    <x v="8"/>
    <x v="1"/>
    <x v="1"/>
    <n v="16.072878127194155"/>
    <x v="1"/>
  </r>
  <r>
    <s v="User_921"/>
    <x v="2"/>
    <n v="62"/>
    <x v="3"/>
    <n v="9.8899825030000006"/>
    <n v="1.613781672"/>
    <n v="40.440877460000003"/>
    <x v="0"/>
    <n v="14.647732319999999"/>
    <n v="62.332361820000003"/>
    <x v="676"/>
    <x v="5"/>
    <x v="1"/>
    <x v="0"/>
    <n v="2.9239209387856335"/>
    <x v="3"/>
  </r>
  <r>
    <s v="User_924"/>
    <x v="1"/>
    <n v="62"/>
    <x v="2"/>
    <n v="69.105959900000002"/>
    <n v="1.257151396"/>
    <n v="27.381349199999999"/>
    <x v="2"/>
    <n v="20.569251550000001"/>
    <n v="63.35465061"/>
    <x v="677"/>
    <x v="2"/>
    <x v="0"/>
    <x v="0"/>
    <n v="18.331701644824321"/>
    <x v="1"/>
  </r>
  <r>
    <s v="User_925"/>
    <x v="2"/>
    <n v="75"/>
    <x v="2"/>
    <n v="18.30737392"/>
    <n v="6.7730953270000001"/>
    <n v="23.915511609999999"/>
    <x v="2"/>
    <n v="14.150088480000001"/>
    <n v="82.196167389999999"/>
    <x v="678"/>
    <x v="2"/>
    <x v="0"/>
    <x v="0"/>
    <n v="9.3430875779639706"/>
    <x v="2"/>
  </r>
  <r>
    <s v="User_926"/>
    <x v="2"/>
    <n v="75"/>
    <x v="4"/>
    <n v="41.744881489999997"/>
    <n v="2.6078607520000001"/>
    <n v="11.144567690000001"/>
    <x v="0"/>
    <n v="26.090808849999998"/>
    <n v="66.722740759999994"/>
    <x v="679"/>
    <x v="9"/>
    <x v="1"/>
    <x v="2"/>
    <n v="12.721313867195242"/>
    <x v="1"/>
  </r>
  <r>
    <s v="User_928"/>
    <x v="0"/>
    <n v="75"/>
    <x v="2"/>
    <n v="39.15231009"/>
    <n v="1.315615687"/>
    <n v="9.9381041949999993"/>
    <x v="1"/>
    <n v="14.671390430000001"/>
    <n v="60.116142910000001"/>
    <x v="680"/>
    <x v="7"/>
    <x v="1"/>
    <x v="0"/>
    <n v="13.344502807951924"/>
    <x v="1"/>
  </r>
  <r>
    <s v="User_931"/>
    <x v="4"/>
    <n v="62"/>
    <x v="1"/>
    <n v="18.03437795"/>
    <n v="2.7569935729999999"/>
    <n v="20.384304409999999"/>
    <x v="3"/>
    <n v="58.410712250000003"/>
    <n v="146.84764390000001"/>
    <x v="681"/>
    <x v="4"/>
    <x v="0"/>
    <x v="2"/>
    <n v="9.8884113107093867"/>
    <x v="2"/>
  </r>
  <r>
    <s v="User_934"/>
    <x v="2"/>
    <n v="75"/>
    <x v="4"/>
    <n v="37.974180050000001"/>
    <n v="1.743676523"/>
    <n v="4.2752191359999996"/>
    <x v="1"/>
    <n v="35.798300300000001"/>
    <n v="64.906556199999997"/>
    <x v="682"/>
    <x v="11"/>
    <x v="2"/>
    <x v="0"/>
    <n v="8.2902161286605605"/>
    <x v="2"/>
  </r>
  <r>
    <s v="User_937"/>
    <x v="3"/>
    <n v="62"/>
    <x v="4"/>
    <n v="6.0067186340000003"/>
    <n v="2.3357121570000001"/>
    <n v="35.128246840000003"/>
    <x v="1"/>
    <n v="23.70526031"/>
    <n v="58.83172596"/>
    <x v="683"/>
    <x v="2"/>
    <x v="2"/>
    <x v="0"/>
    <n v="1.308167733751779"/>
    <x v="3"/>
  </r>
  <r>
    <s v="User_938"/>
    <x v="3"/>
    <n v="50"/>
    <x v="1"/>
    <n v="6.6235926940000001"/>
    <n v="2.7002125600000002"/>
    <n v="19.75648056"/>
    <x v="0"/>
    <n v="24.963613089999999"/>
    <n v="68.640672559999999"/>
    <x v="684"/>
    <x v="2"/>
    <x v="1"/>
    <x v="1"/>
    <n v="1.4464952600044776"/>
    <x v="3"/>
  </r>
  <r>
    <s v="User_939"/>
    <x v="3"/>
    <n v="100"/>
    <x v="2"/>
    <n v="11.431328819999999"/>
    <n v="1.937482886"/>
    <n v="67.934678930000004"/>
    <x v="1"/>
    <n v="12.4299103"/>
    <n v="91.490978040000002"/>
    <x v="685"/>
    <x v="5"/>
    <x v="1"/>
    <x v="0"/>
    <n v="9.037730621962341"/>
    <x v="2"/>
  </r>
  <r>
    <s v="User_943"/>
    <x v="2"/>
    <n v="75"/>
    <x v="1"/>
    <n v="59.21757556"/>
    <n v="1.6027506929999999"/>
    <n v="41.426377930000001"/>
    <x v="3"/>
    <n v="42.299263719999999"/>
    <n v="56.840099039999998"/>
    <x v="686"/>
    <x v="2"/>
    <x v="2"/>
    <x v="0"/>
    <n v="6.4580476070071269"/>
    <x v="2"/>
  </r>
  <r>
    <s v="User_944"/>
    <x v="2"/>
    <n v="75"/>
    <x v="4"/>
    <n v="40.857276409999997"/>
    <n v="2.5395334420000002"/>
    <n v="6.4988019210000001"/>
    <x v="1"/>
    <n v="13.95954712"/>
    <n v="64.563535790000003"/>
    <x v="687"/>
    <x v="11"/>
    <x v="0"/>
    <x v="2"/>
    <n v="15.506558644040238"/>
    <x v="1"/>
  </r>
  <r>
    <s v="User_946"/>
    <x v="2"/>
    <n v="62"/>
    <x v="1"/>
    <n v="78.236752550000006"/>
    <n v="3.8166227340000001"/>
    <n v="16.394166210000002"/>
    <x v="0"/>
    <n v="75.675772600000002"/>
    <n v="85.294990560000002"/>
    <x v="688"/>
    <x v="9"/>
    <x v="2"/>
    <x v="2"/>
    <n v="4.6659735266184219"/>
    <x v="2"/>
  </r>
  <r>
    <s v="User_947"/>
    <x v="4"/>
    <n v="50"/>
    <x v="3"/>
    <n v="17.47337752"/>
    <n v="0.83457807699999997"/>
    <n v="25.792635440000002"/>
    <x v="3"/>
    <n v="64.004049850000001"/>
    <n v="93.614144449999998"/>
    <x v="689"/>
    <x v="4"/>
    <x v="2"/>
    <x v="0"/>
    <n v="2.586941806743567"/>
    <x v="3"/>
  </r>
  <r>
    <s v="User_948"/>
    <x v="0"/>
    <n v="75"/>
    <x v="1"/>
    <n v="26.221067600000001"/>
    <n v="1.113860048"/>
    <n v="29.53589341"/>
    <x v="2"/>
    <n v="45.55484878"/>
    <n v="63.627526629999998"/>
    <x v="690"/>
    <x v="5"/>
    <x v="2"/>
    <x v="2"/>
    <n v="3.5541368071340447"/>
    <x v="2"/>
  </r>
  <r>
    <s v="User_95"/>
    <x v="3"/>
    <n v="85"/>
    <x v="3"/>
    <n v="7.9309014500000004"/>
    <n v="2.342395786"/>
    <n v="44.122129989999998"/>
    <x v="0"/>
    <n v="42.739071760000002"/>
    <n v="72.966023100000001"/>
    <x v="691"/>
    <x v="2"/>
    <x v="0"/>
    <x v="1"/>
    <n v="2.0376792637976262"/>
    <x v="3"/>
  </r>
  <r>
    <s v="User_950"/>
    <x v="3"/>
    <n v="100"/>
    <x v="3"/>
    <n v="55.408584509999997"/>
    <n v="3.8435016860000002"/>
    <n v="29.598302669999999"/>
    <x v="1"/>
    <n v="16.382074020000001"/>
    <n v="86.678376130000004"/>
    <x v="692"/>
    <x v="2"/>
    <x v="1"/>
    <x v="1"/>
    <n v="38.950185962024264"/>
    <x v="0"/>
  </r>
  <r>
    <s v="User_951"/>
    <x v="0"/>
    <n v="62"/>
    <x v="0"/>
    <n v="33.47231506"/>
    <n v="3.2985827799999998"/>
    <n v="43.481763989999997"/>
    <x v="2"/>
    <n v="76.462362619999993"/>
    <n v="81.412497049999999"/>
    <x v="693"/>
    <x v="9"/>
    <x v="2"/>
    <x v="2"/>
    <n v="1.0272932472279448"/>
    <x v="3"/>
  </r>
  <r>
    <s v="User_952"/>
    <x v="2"/>
    <n v="50"/>
    <x v="4"/>
    <n v="53.575201710000002"/>
    <n v="0.83437463300000003"/>
    <n v="27.328398360000001"/>
    <x v="0"/>
    <n v="18.334245800000001"/>
    <n v="83.750534630000004"/>
    <x v="694"/>
    <x v="5"/>
    <x v="1"/>
    <x v="2"/>
    <n v="17.523454345934351"/>
    <x v="1"/>
  </r>
  <r>
    <s v="User_953"/>
    <x v="0"/>
    <n v="94.358174169999998"/>
    <x v="4"/>
    <n v="11.288428850000001"/>
    <n v="2.392842989"/>
    <n v="6.3351849600000003"/>
    <x v="1"/>
    <n v="81.483886440000006"/>
    <n v="83.173004910000003"/>
    <x v="695"/>
    <x v="7"/>
    <x v="1"/>
    <x v="2"/>
    <n v="0.17991738884931377"/>
    <x v="3"/>
  </r>
  <r>
    <s v="User_954"/>
    <x v="1"/>
    <n v="85"/>
    <x v="3"/>
    <n v="6.2691007599999997"/>
    <n v="1.081960289"/>
    <n v="14.86299535"/>
    <x v="2"/>
    <n v="12.439951170000001"/>
    <n v="64.039439950000002"/>
    <x v="696"/>
    <x v="65"/>
    <x v="1"/>
    <x v="2"/>
    <n v="2.7496003517736307"/>
    <x v="3"/>
  </r>
  <r>
    <s v="User_955"/>
    <x v="3"/>
    <n v="75"/>
    <x v="4"/>
    <n v="42.95272027"/>
    <n v="1.6149989819999999"/>
    <n v="9.873961585"/>
    <x v="0"/>
    <n v="61.3488623"/>
    <n v="77.185513169999993"/>
    <x v="697"/>
    <x v="0"/>
    <x v="1"/>
    <x v="2"/>
    <n v="5.1017042612457137"/>
    <x v="2"/>
  </r>
  <r>
    <s v="User_956"/>
    <x v="3"/>
    <n v="75"/>
    <x v="2"/>
    <n v="43.244937159999999"/>
    <n v="3.196532328"/>
    <n v="13.10973684"/>
    <x v="2"/>
    <n v="27.776033049999999"/>
    <n v="52.49968088"/>
    <x v="698"/>
    <x v="2"/>
    <x v="0"/>
    <x v="1"/>
    <n v="8.0187944758074021"/>
    <x v="2"/>
  </r>
  <r>
    <s v="User_959"/>
    <x v="2"/>
    <n v="100"/>
    <x v="2"/>
    <n v="74.182670830000006"/>
    <n v="1.0668374060000001"/>
    <n v="19.437132269999999"/>
    <x v="1"/>
    <n v="76.200179259999999"/>
    <n v="93.645625710000004"/>
    <x v="699"/>
    <x v="66"/>
    <x v="0"/>
    <x v="1"/>
    <n v="12.941498114827425"/>
    <x v="1"/>
  </r>
  <r>
    <s v="User_960"/>
    <x v="3"/>
    <n v="100"/>
    <x v="0"/>
    <n v="72.089242769999998"/>
    <n v="2.496163492"/>
    <n v="7.4945755109999999"/>
    <x v="3"/>
    <n v="22.9005078"/>
    <n v="94.208255190000003"/>
    <x v="700"/>
    <x v="7"/>
    <x v="1"/>
    <x v="2"/>
    <n v="51.405215129795444"/>
    <x v="0"/>
  </r>
  <r>
    <s v="User_961"/>
    <x v="0"/>
    <n v="75"/>
    <x v="4"/>
    <n v="25.329724259999999"/>
    <n v="1.742723987"/>
    <n v="29.14626075"/>
    <x v="3"/>
    <n v="17.39679727"/>
    <n v="70.367851220000006"/>
    <x v="701"/>
    <x v="8"/>
    <x v="2"/>
    <x v="0"/>
    <n v="10.063066427363129"/>
    <x v="1"/>
  </r>
  <r>
    <s v="User_962"/>
    <x v="4"/>
    <n v="85"/>
    <x v="2"/>
    <n v="58.509302030000001"/>
    <n v="1.608912844"/>
    <n v="19.89667189"/>
    <x v="2"/>
    <n v="74.910897890000001"/>
    <n v="80.227061329999998"/>
    <x v="702"/>
    <x v="7"/>
    <x v="2"/>
    <x v="1"/>
    <n v="2.6438826049903303"/>
    <x v="3"/>
  </r>
  <r>
    <s v="User_968"/>
    <x v="1"/>
    <n v="85"/>
    <x v="4"/>
    <n v="39.189987510000002"/>
    <n v="2.7285229580000001"/>
    <n v="19.26004584"/>
    <x v="0"/>
    <n v="16.99015327"/>
    <n v="86.175567950000001"/>
    <x v="703"/>
    <x v="4"/>
    <x v="0"/>
    <x v="0"/>
    <n v="23.046692066058657"/>
    <x v="0"/>
  </r>
  <r>
    <s v="User_969"/>
    <x v="0"/>
    <n v="100"/>
    <x v="1"/>
    <n v="79.357376869999996"/>
    <n v="3.3659923630000002"/>
    <n v="12.79554278"/>
    <x v="0"/>
    <n v="28.92874741"/>
    <n v="89.160669220000003"/>
    <x v="704"/>
    <x v="2"/>
    <x v="0"/>
    <x v="0"/>
    <n v="47.798473186805424"/>
    <x v="0"/>
  </r>
  <r>
    <s v="User_97"/>
    <x v="1"/>
    <n v="75"/>
    <x v="3"/>
    <n v="55.729203349999999"/>
    <n v="3.8290118099999999"/>
    <n v="21.723067319999998"/>
    <x v="1"/>
    <n v="63.404968140000001"/>
    <n v="68.347855640000006"/>
    <x v="705"/>
    <x v="5"/>
    <x v="2"/>
    <x v="1"/>
    <n v="2.0659738696775505"/>
    <x v="3"/>
  </r>
  <r>
    <s v="User_970"/>
    <x v="1"/>
    <n v="62"/>
    <x v="3"/>
    <n v="76.663827979999994"/>
    <n v="4.1896810440000003"/>
    <n v="14.22515405"/>
    <x v="0"/>
    <n v="35.732139060000002"/>
    <n v="84.327913199999998"/>
    <x v="706"/>
    <x v="5"/>
    <x v="1"/>
    <x v="1"/>
    <n v="23.098336029188133"/>
    <x v="0"/>
  </r>
  <r>
    <s v="User_973"/>
    <x v="1"/>
    <n v="50"/>
    <x v="0"/>
    <n v="45.813661570000001"/>
    <n v="3.4441791959999999"/>
    <n v="17.3546406"/>
    <x v="3"/>
    <n v="68.434118490000003"/>
    <n v="86.795171539999998"/>
    <x v="707"/>
    <x v="5"/>
    <x v="0"/>
    <x v="2"/>
    <n v="4.2059353525075807"/>
    <x v="2"/>
  </r>
  <r>
    <s v="User_974"/>
    <x v="1"/>
    <n v="100"/>
    <x v="3"/>
    <n v="60.386297910000003"/>
    <n v="3.4602596339999998"/>
    <n v="8.6583260620000004"/>
    <x v="1"/>
    <n v="64.077722030000004"/>
    <n v="83.384334289999998"/>
    <x v="708"/>
    <x v="9"/>
    <x v="2"/>
    <x v="1"/>
    <n v="11.658548395652181"/>
    <x v="1"/>
  </r>
  <r>
    <s v="User_975"/>
    <x v="0"/>
    <n v="100"/>
    <x v="2"/>
    <n v="32.598880790000003"/>
    <n v="2.3863674179999999"/>
    <n v="41.219374649999999"/>
    <x v="3"/>
    <n v="59.288496539999997"/>
    <n v="75.733176940000007"/>
    <x v="709"/>
    <x v="9"/>
    <x v="1"/>
    <x v="2"/>
    <n v="5.3607817598924985"/>
    <x v="2"/>
  </r>
  <r>
    <s v="User_977"/>
    <x v="1"/>
    <n v="101.87987270000001"/>
    <x v="3"/>
    <n v="53.398968750000002"/>
    <n v="3.2439420779999999"/>
    <n v="40.575587550000002"/>
    <x v="3"/>
    <n v="33.829158980000003"/>
    <n v="95.040556050000006"/>
    <x v="710"/>
    <x v="67"/>
    <x v="1"/>
    <x v="0"/>
    <n v="33.300714773350904"/>
    <x v="0"/>
  </r>
  <r>
    <s v="User_978"/>
    <x v="4"/>
    <n v="62"/>
    <x v="3"/>
    <n v="73.452575780000004"/>
    <n v="3.6445593700000001"/>
    <n v="15.41579306"/>
    <x v="0"/>
    <n v="17.42898675"/>
    <n v="87.444897830000002"/>
    <x v="711"/>
    <x v="7"/>
    <x v="1"/>
    <x v="2"/>
    <n v="31.885663889338534"/>
    <x v="0"/>
  </r>
  <r>
    <s v="User_981"/>
    <x v="2"/>
    <n v="50"/>
    <x v="4"/>
    <n v="65.038634340000002"/>
    <n v="3.4585083779999999"/>
    <n v="25.89338081"/>
    <x v="3"/>
    <n v="20.322311750000001"/>
    <n v="72.493865839999998"/>
    <x v="712"/>
    <x v="2"/>
    <x v="2"/>
    <x v="1"/>
    <n v="16.96583314704521"/>
    <x v="1"/>
  </r>
  <r>
    <s v="User_982"/>
    <x v="0"/>
    <n v="85"/>
    <x v="3"/>
    <n v="63.991170230000002"/>
    <n v="3.2737059780000002"/>
    <n v="42.393277099999999"/>
    <x v="2"/>
    <n v="38.328355729999998"/>
    <n v="77.073778779999998"/>
    <x v="713"/>
    <x v="9"/>
    <x v="0"/>
    <x v="0"/>
    <n v="21.074602177220285"/>
    <x v="0"/>
  </r>
  <r>
    <s v="User_984"/>
    <x v="4"/>
    <n v="75"/>
    <x v="1"/>
    <n v="26.756919870000001"/>
    <n v="0.16539387899999999"/>
    <n v="6.2392527400000004"/>
    <x v="0"/>
    <n v="66.790515729999996"/>
    <n v="91.04529144"/>
    <x v="714"/>
    <x v="0"/>
    <x v="1"/>
    <x v="2"/>
    <n v="4.8673731760296937"/>
    <x v="2"/>
  </r>
  <r>
    <s v="User_987"/>
    <x v="1"/>
    <n v="62"/>
    <x v="1"/>
    <n v="26.510946860000001"/>
    <n v="3.148586774"/>
    <n v="28.531318500000001"/>
    <x v="2"/>
    <n v="65.580601340000001"/>
    <n v="76.291161979999998"/>
    <x v="715"/>
    <x v="5"/>
    <x v="0"/>
    <x v="1"/>
    <n v="1.7604720446006548"/>
    <x v="3"/>
  </r>
  <r>
    <s v="User_989"/>
    <x v="2"/>
    <n v="100"/>
    <x v="3"/>
    <n v="78.130169190000004"/>
    <n v="3.3707680459999998"/>
    <n v="3.9848660709999999"/>
    <x v="0"/>
    <n v="57.111985240000003"/>
    <n v="66.241762890000004"/>
    <x v="716"/>
    <x v="68"/>
    <x v="1"/>
    <x v="1"/>
    <n v="7.1331107246158068"/>
    <x v="2"/>
  </r>
  <r>
    <s v="User_991"/>
    <x v="4"/>
    <n v="85"/>
    <x v="2"/>
    <n v="20.093777339999999"/>
    <n v="1.1522928610000001"/>
    <n v="46.350998820000001"/>
    <x v="0"/>
    <n v="18.696751979999998"/>
    <n v="97.364848170000002"/>
    <x v="717"/>
    <x v="8"/>
    <x v="1"/>
    <x v="0"/>
    <n v="13.436283273130279"/>
    <x v="1"/>
  </r>
  <r>
    <s v="User_993"/>
    <x v="0"/>
    <n v="75"/>
    <x v="0"/>
    <n v="53.9569817"/>
    <n v="3.7370528940000001"/>
    <n v="17.874744589999999"/>
    <x v="3"/>
    <n v="89.975648750000005"/>
    <n v="95.035770209999995"/>
    <x v="718"/>
    <x v="0"/>
    <x v="2"/>
    <x v="2"/>
    <n v="2.0477166076274762"/>
    <x v="3"/>
  </r>
  <r>
    <s v="User_994"/>
    <x v="4"/>
    <n v="62"/>
    <x v="2"/>
    <n v="60.613793919999999"/>
    <n v="3.074673422"/>
    <n v="20.917951720000001"/>
    <x v="2"/>
    <n v="54.469975349999999"/>
    <n v="78.510515299999994"/>
    <x v="719"/>
    <x v="7"/>
    <x v="0"/>
    <x v="0"/>
    <n v="9.0345676723799269"/>
    <x v="2"/>
  </r>
  <r>
    <s v="User_997"/>
    <x v="3"/>
    <n v="62"/>
    <x v="1"/>
    <n v="65.605825080000002"/>
    <n v="3.942321824"/>
    <n v="7.3300862929999999"/>
    <x v="1"/>
    <n v="17.409983969999999"/>
    <n v="91.296228200000002"/>
    <x v="720"/>
    <x v="4"/>
    <x v="0"/>
    <x v="1"/>
    <n v="30.05368169158354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4E90B4-1DA9-4E17-82A0-0E1DEFD552E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B5" firstHeaderRow="1" firstDataRow="1" firstDataCol="1"/>
  <pivotFields count="16">
    <pivotField dataField="1" showAll="0"/>
    <pivotField showAll="0"/>
    <pivotField numFmtId="1" showAll="0"/>
    <pivotField showAll="0"/>
    <pivotField numFmtId="2" showAll="0"/>
    <pivotField numFmtId="2" showAll="0"/>
    <pivotField numFmtId="2" showAll="0"/>
    <pivotField showAll="0">
      <items count="5">
        <item x="2"/>
        <item x="0"/>
        <item x="1"/>
        <item x="3"/>
        <item t="default"/>
      </items>
    </pivotField>
    <pivotField numFmtId="2" showAll="0"/>
    <pivotField numFmtId="2" showAll="0"/>
    <pivotField numFmtId="164" showAll="0"/>
    <pivotField numFmtId="1" showAll="0">
      <items count="70">
        <item x="5"/>
        <item x="22"/>
        <item x="60"/>
        <item x="23"/>
        <item x="33"/>
        <item x="64"/>
        <item x="54"/>
        <item x="10"/>
        <item x="24"/>
        <item x="11"/>
        <item x="3"/>
        <item x="6"/>
        <item x="58"/>
        <item x="16"/>
        <item x="40"/>
        <item x="12"/>
        <item x="34"/>
        <item x="26"/>
        <item x="37"/>
        <item x="30"/>
        <item x="48"/>
        <item x="0"/>
        <item x="28"/>
        <item x="43"/>
        <item x="44"/>
        <item x="20"/>
        <item x="19"/>
        <item x="50"/>
        <item x="45"/>
        <item x="65"/>
        <item x="41"/>
        <item x="51"/>
        <item x="1"/>
        <item x="25"/>
        <item x="42"/>
        <item x="8"/>
        <item x="57"/>
        <item x="36"/>
        <item x="35"/>
        <item x="29"/>
        <item x="59"/>
        <item x="56"/>
        <item x="61"/>
        <item x="7"/>
        <item x="13"/>
        <item x="63"/>
        <item x="67"/>
        <item x="31"/>
        <item x="17"/>
        <item x="49"/>
        <item x="15"/>
        <item x="62"/>
        <item x="46"/>
        <item x="4"/>
        <item x="18"/>
        <item x="53"/>
        <item x="9"/>
        <item x="66"/>
        <item x="14"/>
        <item x="27"/>
        <item x="21"/>
        <item x="47"/>
        <item x="2"/>
        <item x="52"/>
        <item x="32"/>
        <item x="38"/>
        <item x="39"/>
        <item x="68"/>
        <item x="55"/>
        <item t="default"/>
      </items>
    </pivotField>
    <pivotField showAll="0"/>
    <pivotField axis="axisRow" showAll="0">
      <items count="4">
        <item x="1"/>
        <item x="0"/>
        <item x="2"/>
        <item t="default"/>
      </items>
    </pivotField>
    <pivotField numFmtId="2" showAll="0"/>
    <pivotField showAll="0"/>
  </pivotFields>
  <rowFields count="1">
    <field x="13"/>
  </rowFields>
  <rowItems count="4">
    <i>
      <x/>
    </i>
    <i>
      <x v="1"/>
    </i>
    <i>
      <x v="2"/>
    </i>
    <i t="grand">
      <x/>
    </i>
  </rowItems>
  <colItems count="1">
    <i/>
  </colItems>
  <dataFields count="1">
    <dataField name="Count of User ID" fld="0" subtotal="count" baseField="0" baseItem="0"/>
  </dataFields>
  <chartFormats count="8">
    <chartFormat chart="0"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13" count="1" selected="0">
            <x v="0"/>
          </reference>
        </references>
      </pivotArea>
    </chartFormat>
    <chartFormat chart="9" format="7">
      <pivotArea type="data" outline="0" fieldPosition="0">
        <references count="2">
          <reference field="4294967294" count="1" selected="0">
            <x v="0"/>
          </reference>
          <reference field="13" count="1" selected="0">
            <x v="1"/>
          </reference>
        </references>
      </pivotArea>
    </chartFormat>
    <chartFormat chart="9" format="8">
      <pivotArea type="data" outline="0" fieldPosition="0">
        <references count="2">
          <reference field="4294967294" count="1" selected="0">
            <x v="0"/>
          </reference>
          <reference field="13" count="1" selected="0">
            <x v="2"/>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0" format="2">
      <pivotArea type="data" outline="0" fieldPosition="0">
        <references count="2">
          <reference field="4294967294" count="1" selected="0">
            <x v="0"/>
          </reference>
          <reference field="13" count="1" selected="0">
            <x v="1"/>
          </reference>
        </references>
      </pivotArea>
    </chartFormat>
    <chartFormat chart="0" format="3">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6720E8-0ACE-4067-8B48-AB927570C8C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F8" firstHeaderRow="1" firstDataRow="2" firstDataCol="1"/>
  <pivotFields count="16">
    <pivotField dataField="1" showAll="0"/>
    <pivotField showAll="0"/>
    <pivotField numFmtId="1" showAll="0"/>
    <pivotField showAll="0"/>
    <pivotField numFmtId="2" showAll="0"/>
    <pivotField numFmtId="2" showAll="0"/>
    <pivotField numFmtId="2" showAll="0"/>
    <pivotField showAll="0">
      <items count="5">
        <item x="2"/>
        <item x="0"/>
        <item x="1"/>
        <item x="3"/>
        <item t="default"/>
      </items>
    </pivotField>
    <pivotField numFmtId="2" showAll="0"/>
    <pivotField numFmtId="2" showAll="0"/>
    <pivotField numFmtId="164" showAll="0"/>
    <pivotField numFmtId="1" showAll="0">
      <items count="70">
        <item x="5"/>
        <item x="22"/>
        <item x="60"/>
        <item x="23"/>
        <item x="33"/>
        <item x="64"/>
        <item x="54"/>
        <item x="10"/>
        <item x="24"/>
        <item x="11"/>
        <item x="3"/>
        <item x="6"/>
        <item x="58"/>
        <item x="16"/>
        <item x="40"/>
        <item x="12"/>
        <item x="34"/>
        <item x="26"/>
        <item x="37"/>
        <item x="30"/>
        <item x="48"/>
        <item x="0"/>
        <item x="28"/>
        <item x="43"/>
        <item x="44"/>
        <item x="20"/>
        <item x="19"/>
        <item x="50"/>
        <item x="45"/>
        <item x="65"/>
        <item x="41"/>
        <item x="51"/>
        <item x="1"/>
        <item x="25"/>
        <item x="42"/>
        <item x="8"/>
        <item x="57"/>
        <item x="36"/>
        <item x="35"/>
        <item x="29"/>
        <item x="59"/>
        <item x="56"/>
        <item x="61"/>
        <item x="7"/>
        <item x="13"/>
        <item x="63"/>
        <item x="67"/>
        <item x="31"/>
        <item x="17"/>
        <item x="49"/>
        <item x="15"/>
        <item x="62"/>
        <item x="46"/>
        <item x="4"/>
        <item x="18"/>
        <item x="53"/>
        <item x="9"/>
        <item x="66"/>
        <item x="14"/>
        <item x="27"/>
        <item x="21"/>
        <item x="47"/>
        <item x="2"/>
        <item x="52"/>
        <item x="32"/>
        <item x="38"/>
        <item x="39"/>
        <item x="68"/>
        <item x="55"/>
        <item t="default"/>
      </items>
    </pivotField>
    <pivotField axis="axisRow" showAll="0">
      <items count="4">
        <item x="0"/>
        <item x="2"/>
        <item x="1"/>
        <item t="default"/>
      </items>
    </pivotField>
    <pivotField showAll="0">
      <items count="4">
        <item x="1"/>
        <item x="0"/>
        <item x="2"/>
        <item t="default"/>
      </items>
    </pivotField>
    <pivotField numFmtId="2" showAll="0"/>
    <pivotField axis="axisCol" showAll="0">
      <items count="5">
        <item x="2"/>
        <item x="3"/>
        <item x="0"/>
        <item x="1"/>
        <item t="default"/>
      </items>
    </pivotField>
  </pivotFields>
  <rowFields count="1">
    <field x="12"/>
  </rowFields>
  <rowItems count="4">
    <i>
      <x/>
    </i>
    <i>
      <x v="1"/>
    </i>
    <i>
      <x v="2"/>
    </i>
    <i t="grand">
      <x/>
    </i>
  </rowItems>
  <colFields count="1">
    <field x="15"/>
  </colFields>
  <colItems count="5">
    <i>
      <x/>
    </i>
    <i>
      <x v="1"/>
    </i>
    <i>
      <x v="2"/>
    </i>
    <i>
      <x v="3"/>
    </i>
    <i t="grand">
      <x/>
    </i>
  </colItems>
  <dataFields count="1">
    <dataField name="Count of User ID" fld="0" subtotal="count" baseField="0" baseItem="0"/>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0" format="2" series="1">
      <pivotArea type="data" outline="0" fieldPosition="0">
        <references count="2">
          <reference field="4294967294" count="1" selected="0">
            <x v="0"/>
          </reference>
          <reference field="15" count="1" selected="0">
            <x v="2"/>
          </reference>
        </references>
      </pivotArea>
    </chartFormat>
    <chartFormat chart="0" format="3" series="1">
      <pivotArea type="data" outline="0" fieldPosition="0">
        <references count="2">
          <reference field="4294967294" count="1" selected="0">
            <x v="0"/>
          </reference>
          <reference field="15" count="1" selected="0">
            <x v="3"/>
          </reference>
        </references>
      </pivotArea>
    </chartFormat>
    <chartFormat chart="0" format="4" series="1">
      <pivotArea type="data" outline="0" fieldPosition="0">
        <references count="2">
          <reference field="4294967294" count="1" selected="0">
            <x v="0"/>
          </reference>
          <reference field="15" count="1" selected="0">
            <x v="0"/>
          </reference>
        </references>
      </pivotArea>
    </chartFormat>
    <chartFormat chart="6" format="9" series="1">
      <pivotArea type="data" outline="0" fieldPosition="0">
        <references count="2">
          <reference field="4294967294" count="1" selected="0">
            <x v="0"/>
          </reference>
          <reference field="15" count="1" selected="0">
            <x v="0"/>
          </reference>
        </references>
      </pivotArea>
    </chartFormat>
    <chartFormat chart="6" format="10" series="1">
      <pivotArea type="data" outline="0" fieldPosition="0">
        <references count="2">
          <reference field="4294967294" count="1" selected="0">
            <x v="0"/>
          </reference>
          <reference field="15" count="1" selected="0">
            <x v="1"/>
          </reference>
        </references>
      </pivotArea>
    </chartFormat>
    <chartFormat chart="6" format="11" series="1">
      <pivotArea type="data" outline="0" fieldPosition="0">
        <references count="2">
          <reference field="4294967294" count="1" selected="0">
            <x v="0"/>
          </reference>
          <reference field="15" count="1" selected="0">
            <x v="2"/>
          </reference>
        </references>
      </pivotArea>
    </chartFormat>
    <chartFormat chart="6" format="12" series="1">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E2E952-925F-479F-A258-13F64E95DDEF}"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6" firstHeaderRow="1" firstDataRow="1" firstDataCol="1"/>
  <pivotFields count="16">
    <pivotField showAll="0"/>
    <pivotField showAll="0"/>
    <pivotField numFmtId="1" showAll="0"/>
    <pivotField showAll="0">
      <items count="6">
        <item x="0"/>
        <item x="4"/>
        <item x="2"/>
        <item x="3"/>
        <item x="1"/>
        <item t="default"/>
      </items>
    </pivotField>
    <pivotField numFmtId="2" showAll="0"/>
    <pivotField numFmtId="2" showAll="0"/>
    <pivotField numFmtId="2" showAll="0"/>
    <pivotField axis="axisRow" showAll="0">
      <items count="5">
        <item x="2"/>
        <item x="0"/>
        <item x="1"/>
        <item x="3"/>
        <item t="default"/>
      </items>
    </pivotField>
    <pivotField numFmtId="2" showAll="0"/>
    <pivotField numFmtId="2" showAll="0"/>
    <pivotField numFmtId="164" showAll="0">
      <items count="722">
        <item x="63"/>
        <item x="338"/>
        <item x="174"/>
        <item x="480"/>
        <item x="306"/>
        <item x="80"/>
        <item x="61"/>
        <item x="201"/>
        <item x="569"/>
        <item x="155"/>
        <item x="181"/>
        <item x="607"/>
        <item x="531"/>
        <item x="138"/>
        <item x="325"/>
        <item x="272"/>
        <item x="71"/>
        <item x="549"/>
        <item x="528"/>
        <item x="95"/>
        <item x="604"/>
        <item x="217"/>
        <item x="640"/>
        <item x="195"/>
        <item x="347"/>
        <item x="303"/>
        <item x="412"/>
        <item x="650"/>
        <item x="630"/>
        <item x="720"/>
        <item x="238"/>
        <item x="461"/>
        <item x="196"/>
        <item x="42"/>
        <item x="394"/>
        <item x="134"/>
        <item x="149"/>
        <item x="649"/>
        <item x="572"/>
        <item x="284"/>
        <item x="659"/>
        <item x="72"/>
        <item x="114"/>
        <item x="605"/>
        <item x="642"/>
        <item x="331"/>
        <item x="13"/>
        <item x="619"/>
        <item x="8"/>
        <item x="278"/>
        <item x="259"/>
        <item x="598"/>
        <item x="651"/>
        <item x="538"/>
        <item x="696"/>
        <item x="452"/>
        <item x="235"/>
        <item x="165"/>
        <item x="398"/>
        <item x="617"/>
        <item x="405"/>
        <item x="76"/>
        <item x="687"/>
        <item x="672"/>
        <item x="116"/>
        <item x="51"/>
        <item x="324"/>
        <item x="265"/>
        <item x="611"/>
        <item x="697"/>
        <item x="205"/>
        <item x="510"/>
        <item x="147"/>
        <item x="700"/>
        <item x="302"/>
        <item x="295"/>
        <item x="514"/>
        <item x="345"/>
        <item x="570"/>
        <item x="681"/>
        <item x="668"/>
        <item x="220"/>
        <item x="371"/>
        <item x="129"/>
        <item x="396"/>
        <item x="393"/>
        <item x="495"/>
        <item x="379"/>
        <item x="241"/>
        <item x="530"/>
        <item x="227"/>
        <item x="209"/>
        <item x="683"/>
        <item x="73"/>
        <item x="663"/>
        <item x="612"/>
        <item x="7"/>
        <item x="58"/>
        <item x="173"/>
        <item x="45"/>
        <item x="466"/>
        <item x="692"/>
        <item x="381"/>
        <item x="647"/>
        <item x="156"/>
        <item x="414"/>
        <item x="425"/>
        <item x="9"/>
        <item x="503"/>
        <item x="430"/>
        <item x="694"/>
        <item x="148"/>
        <item x="635"/>
        <item x="161"/>
        <item x="267"/>
        <item x="624"/>
        <item x="22"/>
        <item x="484"/>
        <item x="437"/>
        <item x="432"/>
        <item x="493"/>
        <item x="226"/>
        <item x="494"/>
        <item x="157"/>
        <item x="373"/>
        <item x="435"/>
        <item x="701"/>
        <item x="291"/>
        <item x="487"/>
        <item x="133"/>
        <item x="254"/>
        <item x="451"/>
        <item x="24"/>
        <item x="350"/>
        <item x="349"/>
        <item x="718"/>
        <item x="366"/>
        <item x="351"/>
        <item x="438"/>
        <item x="200"/>
        <item x="279"/>
        <item x="130"/>
        <item x="224"/>
        <item x="596"/>
        <item x="242"/>
        <item x="431"/>
        <item x="661"/>
        <item x="408"/>
        <item x="84"/>
        <item x="568"/>
        <item x="546"/>
        <item x="280"/>
        <item x="194"/>
        <item x="96"/>
        <item x="655"/>
        <item x="2"/>
        <item x="110"/>
        <item x="286"/>
        <item x="507"/>
        <item x="609"/>
        <item x="135"/>
        <item x="486"/>
        <item x="370"/>
        <item x="520"/>
        <item x="440"/>
        <item x="121"/>
        <item x="298"/>
        <item x="314"/>
        <item x="79"/>
        <item x="693"/>
        <item x="657"/>
        <item x="496"/>
        <item x="88"/>
        <item x="602"/>
        <item x="94"/>
        <item x="554"/>
        <item x="240"/>
        <item x="93"/>
        <item x="652"/>
        <item x="166"/>
        <item x="689"/>
        <item x="522"/>
        <item x="211"/>
        <item x="185"/>
        <item x="389"/>
        <item x="454"/>
        <item x="146"/>
        <item x="467"/>
        <item x="27"/>
        <item x="308"/>
        <item x="566"/>
        <item x="125"/>
        <item x="281"/>
        <item x="636"/>
        <item x="558"/>
        <item x="443"/>
        <item x="271"/>
        <item x="508"/>
        <item x="47"/>
        <item x="378"/>
        <item x="62"/>
        <item x="399"/>
        <item x="128"/>
        <item x="620"/>
        <item x="403"/>
        <item x="416"/>
        <item x="305"/>
        <item x="78"/>
        <item x="275"/>
        <item x="11"/>
        <item x="236"/>
        <item x="221"/>
        <item x="482"/>
        <item x="457"/>
        <item x="104"/>
        <item x="485"/>
        <item x="263"/>
        <item x="70"/>
        <item x="400"/>
        <item x="44"/>
        <item x="139"/>
        <item x="610"/>
        <item x="312"/>
        <item x="346"/>
        <item x="320"/>
        <item x="352"/>
        <item x="293"/>
        <item x="475"/>
        <item x="109"/>
        <item x="472"/>
        <item x="662"/>
        <item x="14"/>
        <item x="168"/>
        <item x="301"/>
        <item x="218"/>
        <item x="206"/>
        <item x="18"/>
        <item x="270"/>
        <item x="656"/>
        <item x="645"/>
        <item x="172"/>
        <item x="328"/>
        <item x="716"/>
        <item x="319"/>
        <item x="41"/>
        <item x="52"/>
        <item x="385"/>
        <item x="582"/>
        <item x="678"/>
        <item x="102"/>
        <item x="490"/>
        <item x="664"/>
        <item x="386"/>
        <item x="316"/>
        <item x="577"/>
        <item x="527"/>
        <item x="203"/>
        <item x="307"/>
        <item x="337"/>
        <item x="342"/>
        <item x="315"/>
        <item x="239"/>
        <item x="169"/>
        <item x="253"/>
        <item x="30"/>
        <item x="170"/>
        <item x="715"/>
        <item x="160"/>
        <item x="296"/>
        <item x="90"/>
        <item x="618"/>
        <item x="171"/>
        <item x="182"/>
        <item x="557"/>
        <item x="517"/>
        <item x="580"/>
        <item x="597"/>
        <item x="212"/>
        <item x="117"/>
        <item x="177"/>
        <item x="330"/>
        <item x="215"/>
        <item x="654"/>
        <item x="464"/>
        <item x="468"/>
        <item x="439"/>
        <item x="421"/>
        <item x="136"/>
        <item x="255"/>
        <item x="634"/>
        <item x="498"/>
        <item x="613"/>
        <item x="151"/>
        <item x="616"/>
        <item x="643"/>
        <item x="219"/>
        <item x="571"/>
        <item x="638"/>
        <item x="274"/>
        <item x="519"/>
        <item x="540"/>
        <item x="594"/>
        <item x="499"/>
        <item x="551"/>
        <item x="502"/>
        <item x="691"/>
        <item x="335"/>
        <item x="158"/>
        <item x="648"/>
        <item x="309"/>
        <item x="384"/>
        <item x="66"/>
        <item x="449"/>
        <item x="388"/>
        <item x="536"/>
        <item x="50"/>
        <item x="164"/>
        <item x="539"/>
        <item x="550"/>
        <item x="471"/>
        <item x="225"/>
        <item x="199"/>
        <item x="626"/>
        <item x="340"/>
        <item x="434"/>
        <item x="460"/>
        <item x="415"/>
        <item x="67"/>
        <item x="353"/>
        <item x="448"/>
        <item x="581"/>
        <item x="6"/>
        <item x="595"/>
        <item x="578"/>
        <item x="682"/>
        <item x="518"/>
        <item x="167"/>
        <item x="222"/>
        <item x="229"/>
        <item x="458"/>
        <item x="115"/>
        <item x="230"/>
        <item x="98"/>
        <item x="417"/>
        <item x="59"/>
        <item x="124"/>
        <item x="441"/>
        <item x="375"/>
        <item x="112"/>
        <item x="534"/>
        <item x="87"/>
        <item x="192"/>
        <item x="106"/>
        <item x="658"/>
        <item x="646"/>
        <item x="145"/>
        <item x="563"/>
        <item x="119"/>
        <item x="269"/>
        <item x="210"/>
        <item x="552"/>
        <item x="243"/>
        <item x="665"/>
        <item x="31"/>
        <item x="40"/>
        <item x="547"/>
        <item x="444"/>
        <item x="15"/>
        <item x="120"/>
        <item x="679"/>
        <item x="368"/>
        <item x="608"/>
        <item x="516"/>
        <item x="676"/>
        <item x="698"/>
        <item x="567"/>
        <item x="587"/>
        <item x="143"/>
        <item x="712"/>
        <item x="198"/>
        <item x="686"/>
        <item x="257"/>
        <item x="323"/>
        <item x="363"/>
        <item x="233"/>
        <item x="419"/>
        <item x="245"/>
        <item x="289"/>
        <item x="354"/>
        <item x="292"/>
        <item x="555"/>
        <item x="492"/>
        <item x="304"/>
        <item x="77"/>
        <item x="369"/>
        <item x="532"/>
        <item x="573"/>
        <item x="713"/>
        <item x="685"/>
        <item x="49"/>
        <item x="237"/>
        <item x="591"/>
        <item x="497"/>
        <item x="469"/>
        <item x="191"/>
        <item x="702"/>
        <item x="358"/>
        <item x="462"/>
        <item x="382"/>
        <item x="470"/>
        <item x="362"/>
        <item x="409"/>
        <item x="584"/>
        <item x="660"/>
        <item x="708"/>
        <item x="601"/>
        <item x="176"/>
        <item x="418"/>
        <item x="355"/>
        <item x="162"/>
        <item x="545"/>
        <item x="628"/>
        <item x="140"/>
        <item x="367"/>
        <item x="714"/>
        <item x="695"/>
        <item x="576"/>
        <item x="629"/>
        <item x="19"/>
        <item x="189"/>
        <item x="543"/>
        <item x="186"/>
        <item x="603"/>
        <item x="232"/>
        <item x="38"/>
        <item x="524"/>
        <item x="60"/>
        <item x="575"/>
        <item x="615"/>
        <item x="653"/>
        <item x="390"/>
        <item x="637"/>
        <item x="252"/>
        <item x="535"/>
        <item x="631"/>
        <item x="64"/>
        <item x="223"/>
        <item x="184"/>
        <item x="704"/>
        <item x="248"/>
        <item x="33"/>
        <item x="579"/>
        <item x="332"/>
        <item x="318"/>
        <item x="283"/>
        <item x="625"/>
        <item x="154"/>
        <item x="574"/>
        <item x="152"/>
        <item x="258"/>
        <item x="589"/>
        <item x="288"/>
        <item x="249"/>
        <item x="559"/>
        <item x="101"/>
        <item x="541"/>
        <item x="401"/>
        <item x="364"/>
        <item x="131"/>
        <item x="28"/>
        <item x="153"/>
        <item x="426"/>
        <item x="526"/>
        <item x="299"/>
        <item x="424"/>
        <item x="706"/>
        <item x="699"/>
        <item x="89"/>
        <item x="297"/>
        <item x="504"/>
        <item x="81"/>
        <item x="262"/>
        <item x="529"/>
        <item x="29"/>
        <item x="445"/>
        <item x="127"/>
        <item x="376"/>
        <item x="560"/>
        <item x="410"/>
        <item x="447"/>
        <item x="505"/>
        <item x="1"/>
        <item x="231"/>
        <item x="537"/>
        <item x="667"/>
        <item x="590"/>
        <item x="111"/>
        <item x="402"/>
        <item x="710"/>
        <item x="0"/>
        <item x="322"/>
        <item x="455"/>
        <item x="282"/>
        <item x="436"/>
        <item x="244"/>
        <item x="544"/>
        <item x="533"/>
        <item x="321"/>
        <item x="707"/>
        <item x="83"/>
        <item x="684"/>
        <item x="561"/>
        <item x="273"/>
        <item x="717"/>
        <item x="234"/>
        <item x="4"/>
        <item x="361"/>
        <item x="513"/>
        <item x="86"/>
        <item x="327"/>
        <item x="488"/>
        <item x="193"/>
        <item x="290"/>
        <item x="666"/>
        <item x="404"/>
        <item x="10"/>
        <item x="264"/>
        <item x="69"/>
        <item x="506"/>
        <item x="179"/>
        <item x="247"/>
        <item x="481"/>
        <item x="509"/>
        <item x="614"/>
        <item x="103"/>
        <item x="261"/>
        <item x="420"/>
        <item x="163"/>
        <item x="268"/>
        <item x="548"/>
        <item x="501"/>
        <item x="57"/>
        <item x="23"/>
        <item x="644"/>
        <item x="348"/>
        <item x="423"/>
        <item x="37"/>
        <item x="228"/>
        <item x="477"/>
        <item x="593"/>
        <item x="150"/>
        <item x="213"/>
        <item x="479"/>
        <item x="141"/>
        <item x="21"/>
        <item x="300"/>
        <item x="3"/>
        <item x="17"/>
        <item x="515"/>
        <item x="453"/>
        <item x="188"/>
        <item x="556"/>
        <item x="132"/>
        <item x="641"/>
        <item x="564"/>
        <item x="56"/>
        <item x="251"/>
        <item x="175"/>
        <item x="680"/>
        <item x="478"/>
        <item x="588"/>
        <item x="75"/>
        <item x="719"/>
        <item x="360"/>
        <item x="341"/>
        <item x="633"/>
        <item x="294"/>
        <item x="463"/>
        <item x="703"/>
        <item x="491"/>
        <item x="26"/>
        <item x="600"/>
        <item x="202"/>
        <item x="476"/>
        <item x="313"/>
        <item x="285"/>
        <item x="675"/>
        <item x="46"/>
        <item x="178"/>
        <item x="256"/>
        <item x="592"/>
        <item x="343"/>
        <item x="39"/>
        <item x="55"/>
        <item x="250"/>
        <item x="100"/>
        <item x="344"/>
        <item x="190"/>
        <item x="246"/>
        <item x="53"/>
        <item x="197"/>
        <item x="25"/>
        <item x="326"/>
        <item x="204"/>
        <item x="406"/>
        <item x="450"/>
        <item x="126"/>
        <item x="336"/>
        <item x="511"/>
        <item x="387"/>
        <item x="99"/>
        <item x="670"/>
        <item x="429"/>
        <item x="705"/>
        <item x="207"/>
        <item x="334"/>
        <item x="500"/>
        <item x="216"/>
        <item x="456"/>
        <item x="35"/>
        <item x="690"/>
        <item x="599"/>
        <item x="277"/>
        <item x="586"/>
        <item x="311"/>
        <item x="43"/>
        <item x="97"/>
        <item x="16"/>
        <item x="391"/>
        <item x="474"/>
        <item x="183"/>
        <item x="365"/>
        <item x="583"/>
        <item x="465"/>
        <item x="473"/>
        <item x="359"/>
        <item x="54"/>
        <item x="422"/>
        <item x="489"/>
        <item x="413"/>
        <item x="542"/>
        <item x="525"/>
        <item x="214"/>
        <item x="68"/>
        <item x="144"/>
        <item x="92"/>
        <item x="383"/>
        <item x="333"/>
        <item x="606"/>
        <item x="407"/>
        <item x="709"/>
        <item x="317"/>
        <item x="180"/>
        <item x="159"/>
        <item x="397"/>
        <item x="372"/>
        <item x="446"/>
        <item x="521"/>
        <item x="91"/>
        <item x="711"/>
        <item x="108"/>
        <item x="553"/>
        <item x="433"/>
        <item x="20"/>
        <item x="123"/>
        <item x="669"/>
        <item x="339"/>
        <item x="122"/>
        <item x="622"/>
        <item x="395"/>
        <item x="137"/>
        <item x="36"/>
        <item x="688"/>
        <item x="442"/>
        <item x="357"/>
        <item x="674"/>
        <item x="5"/>
        <item x="512"/>
        <item x="427"/>
        <item x="266"/>
        <item x="356"/>
        <item x="673"/>
        <item x="639"/>
        <item x="105"/>
        <item x="377"/>
        <item x="459"/>
        <item x="85"/>
        <item x="34"/>
        <item x="74"/>
        <item x="483"/>
        <item x="118"/>
        <item x="107"/>
        <item x="287"/>
        <item x="623"/>
        <item x="565"/>
        <item x="65"/>
        <item x="208"/>
        <item x="187"/>
        <item x="310"/>
        <item x="374"/>
        <item x="48"/>
        <item x="671"/>
        <item x="113"/>
        <item x="428"/>
        <item x="142"/>
        <item x="12"/>
        <item x="276"/>
        <item x="585"/>
        <item x="392"/>
        <item x="523"/>
        <item x="260"/>
        <item x="411"/>
        <item x="562"/>
        <item x="677"/>
        <item x="82"/>
        <item x="380"/>
        <item x="621"/>
        <item x="627"/>
        <item x="329"/>
        <item x="632"/>
        <item x="32"/>
        <item t="default"/>
      </items>
    </pivotField>
    <pivotField numFmtId="1" showAll="0">
      <items count="70">
        <item x="5"/>
        <item x="22"/>
        <item x="60"/>
        <item x="23"/>
        <item x="33"/>
        <item x="64"/>
        <item x="54"/>
        <item x="10"/>
        <item x="24"/>
        <item x="11"/>
        <item x="3"/>
        <item x="6"/>
        <item x="58"/>
        <item x="16"/>
        <item x="40"/>
        <item x="12"/>
        <item x="34"/>
        <item x="26"/>
        <item x="37"/>
        <item x="30"/>
        <item x="48"/>
        <item x="0"/>
        <item x="28"/>
        <item x="43"/>
        <item x="44"/>
        <item x="20"/>
        <item x="19"/>
        <item x="50"/>
        <item x="45"/>
        <item x="65"/>
        <item x="41"/>
        <item x="51"/>
        <item x="1"/>
        <item x="25"/>
        <item x="42"/>
        <item x="8"/>
        <item x="57"/>
        <item x="36"/>
        <item x="35"/>
        <item x="29"/>
        <item x="59"/>
        <item x="56"/>
        <item x="61"/>
        <item x="7"/>
        <item x="13"/>
        <item x="63"/>
        <item x="67"/>
        <item x="31"/>
        <item x="17"/>
        <item x="49"/>
        <item x="15"/>
        <item x="62"/>
        <item x="46"/>
        <item x="4"/>
        <item x="18"/>
        <item x="53"/>
        <item x="9"/>
        <item x="66"/>
        <item x="14"/>
        <item x="27"/>
        <item x="21"/>
        <item x="47"/>
        <item x="2"/>
        <item x="52"/>
        <item x="32"/>
        <item x="38"/>
        <item x="39"/>
        <item x="68"/>
        <item x="55"/>
        <item t="default"/>
      </items>
    </pivotField>
    <pivotField showAll="0">
      <items count="4">
        <item x="0"/>
        <item x="2"/>
        <item x="1"/>
        <item t="default"/>
      </items>
    </pivotField>
    <pivotField showAll="0">
      <items count="4">
        <item x="1"/>
        <item x="0"/>
        <item x="2"/>
        <item t="default"/>
      </items>
    </pivotField>
    <pivotField dataField="1" numFmtId="2" showAll="0"/>
    <pivotField showAll="0"/>
  </pivotFields>
  <rowFields count="1">
    <field x="7"/>
  </rowFields>
  <rowItems count="5">
    <i>
      <x/>
    </i>
    <i>
      <x v="1"/>
    </i>
    <i>
      <x v="2"/>
    </i>
    <i>
      <x v="3"/>
    </i>
    <i t="grand">
      <x/>
    </i>
  </rowItems>
  <colItems count="1">
    <i/>
  </colItems>
  <dataFields count="1">
    <dataField name="Average of Charging Efficiency" fld="14" subtotal="average" baseField="7" baseItem="0" numFmtId="2"/>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9D3790A-A9E2-4072-8192-CA387DF3CDA4}"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7" firstHeaderRow="1" firstDataRow="1" firstDataCol="1"/>
  <pivotFields count="16">
    <pivotField showAll="0"/>
    <pivotField axis="axisRow" showAll="0" measureFilter="1">
      <items count="6">
        <item x="0"/>
        <item x="2"/>
        <item x="1"/>
        <item x="4"/>
        <item x="3"/>
        <item t="default"/>
      </items>
    </pivotField>
    <pivotField numFmtId="1" showAll="0"/>
    <pivotField showAll="0"/>
    <pivotField numFmtId="2" showAll="0"/>
    <pivotField dataField="1" numFmtId="2" showAll="0"/>
    <pivotField numFmtId="2" showAll="0"/>
    <pivotField showAll="0">
      <items count="5">
        <item x="2"/>
        <item x="0"/>
        <item x="1"/>
        <item x="3"/>
        <item t="default"/>
      </items>
    </pivotField>
    <pivotField numFmtId="2" showAll="0"/>
    <pivotField numFmtId="2" showAll="0"/>
    <pivotField numFmtId="164" showAll="0"/>
    <pivotField numFmtId="1" showAll="0">
      <items count="70">
        <item x="5"/>
        <item x="22"/>
        <item x="60"/>
        <item x="23"/>
        <item x="33"/>
        <item x="64"/>
        <item x="54"/>
        <item x="10"/>
        <item x="24"/>
        <item x="11"/>
        <item x="3"/>
        <item x="6"/>
        <item x="58"/>
        <item x="16"/>
        <item x="40"/>
        <item x="12"/>
        <item x="34"/>
        <item x="26"/>
        <item x="37"/>
        <item x="30"/>
        <item x="48"/>
        <item x="0"/>
        <item x="28"/>
        <item x="43"/>
        <item x="44"/>
        <item x="20"/>
        <item x="19"/>
        <item x="50"/>
        <item x="45"/>
        <item x="65"/>
        <item x="41"/>
        <item x="51"/>
        <item x="1"/>
        <item x="25"/>
        <item x="42"/>
        <item x="8"/>
        <item x="57"/>
        <item x="36"/>
        <item x="35"/>
        <item x="29"/>
        <item x="59"/>
        <item x="56"/>
        <item x="61"/>
        <item x="7"/>
        <item x="13"/>
        <item x="63"/>
        <item x="67"/>
        <item x="31"/>
        <item x="17"/>
        <item x="49"/>
        <item x="15"/>
        <item x="62"/>
        <item x="46"/>
        <item x="4"/>
        <item x="18"/>
        <item x="53"/>
        <item x="9"/>
        <item x="66"/>
        <item x="14"/>
        <item x="27"/>
        <item x="21"/>
        <item x="47"/>
        <item x="2"/>
        <item x="52"/>
        <item x="32"/>
        <item x="38"/>
        <item x="39"/>
        <item x="68"/>
        <item x="55"/>
        <item t="default"/>
      </items>
    </pivotField>
    <pivotField showAll="0"/>
    <pivotField showAll="0">
      <items count="4">
        <item x="1"/>
        <item x="0"/>
        <item x="2"/>
        <item t="default"/>
      </items>
    </pivotField>
    <pivotField numFmtId="2" showAll="0"/>
    <pivotField showAll="0"/>
  </pivotFields>
  <rowFields count="1">
    <field x="1"/>
  </rowFields>
  <rowItems count="6">
    <i>
      <x/>
    </i>
    <i>
      <x v="1"/>
    </i>
    <i>
      <x v="2"/>
    </i>
    <i>
      <x v="3"/>
    </i>
    <i>
      <x v="4"/>
    </i>
    <i t="grand">
      <x/>
    </i>
  </rowItems>
  <colItems count="1">
    <i/>
  </colItems>
  <dataFields count="1">
    <dataField name="Average of Charging Duration (hours)" fld="5" subtotal="average" baseField="1" baseItem="0" numFmtId="2"/>
  </dataFields>
  <conditionalFormats count="1">
    <conditionalFormat priority="1">
      <pivotAreas count="1">
        <pivotArea type="data" collapsedLevelsAreSubtotals="1" fieldPosition="0">
          <references count="2">
            <reference field="4294967294" count="1" selected="0">
              <x v="0"/>
            </reference>
            <reference field="1" count="5">
              <x v="0"/>
              <x v="1"/>
              <x v="2"/>
              <x v="3"/>
              <x v="4"/>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9199072-3972-4EF7-B00E-56713D7CD974}"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7" firstHeaderRow="1" firstDataRow="1" firstDataCol="1"/>
  <pivotFields count="16">
    <pivotField showAll="0"/>
    <pivotField showAll="0"/>
    <pivotField numFmtId="1" showAll="0"/>
    <pivotField axis="axisRow" showAll="0">
      <items count="6">
        <item x="0"/>
        <item x="4"/>
        <item x="2"/>
        <item x="3"/>
        <item x="1"/>
        <item t="default"/>
      </items>
    </pivotField>
    <pivotField dataField="1" numFmtId="2" showAll="0"/>
    <pivotField numFmtId="2" showAll="0"/>
    <pivotField numFmtId="2" showAll="0"/>
    <pivotField showAll="0">
      <items count="5">
        <item x="2"/>
        <item x="0"/>
        <item x="1"/>
        <item x="3"/>
        <item t="default"/>
      </items>
    </pivotField>
    <pivotField numFmtId="2" showAll="0"/>
    <pivotField numFmtId="2" showAll="0"/>
    <pivotField numFmtId="164" showAll="0"/>
    <pivotField numFmtId="1" showAll="0">
      <items count="70">
        <item x="5"/>
        <item x="22"/>
        <item x="60"/>
        <item x="23"/>
        <item x="33"/>
        <item x="64"/>
        <item x="54"/>
        <item x="10"/>
        <item x="24"/>
        <item x="11"/>
        <item x="3"/>
        <item x="6"/>
        <item x="58"/>
        <item x="16"/>
        <item x="40"/>
        <item x="12"/>
        <item x="34"/>
        <item x="26"/>
        <item x="37"/>
        <item x="30"/>
        <item x="48"/>
        <item x="0"/>
        <item x="28"/>
        <item x="43"/>
        <item x="44"/>
        <item x="20"/>
        <item x="19"/>
        <item x="50"/>
        <item x="45"/>
        <item x="65"/>
        <item x="41"/>
        <item x="51"/>
        <item x="1"/>
        <item x="25"/>
        <item x="42"/>
        <item x="8"/>
        <item x="57"/>
        <item x="36"/>
        <item x="35"/>
        <item x="29"/>
        <item x="59"/>
        <item x="56"/>
        <item x="61"/>
        <item x="7"/>
        <item x="13"/>
        <item x="63"/>
        <item x="67"/>
        <item x="31"/>
        <item x="17"/>
        <item x="49"/>
        <item x="15"/>
        <item x="62"/>
        <item x="46"/>
        <item x="4"/>
        <item x="18"/>
        <item x="53"/>
        <item x="9"/>
        <item x="66"/>
        <item x="14"/>
        <item x="27"/>
        <item x="21"/>
        <item x="47"/>
        <item x="2"/>
        <item x="52"/>
        <item x="32"/>
        <item x="38"/>
        <item x="39"/>
        <item x="68"/>
        <item x="55"/>
        <item t="default"/>
      </items>
    </pivotField>
    <pivotField showAll="0"/>
    <pivotField showAll="0">
      <items count="4">
        <item x="1"/>
        <item x="0"/>
        <item x="2"/>
        <item t="default"/>
      </items>
    </pivotField>
    <pivotField numFmtId="2" showAll="0"/>
    <pivotField showAll="0"/>
  </pivotFields>
  <rowFields count="1">
    <field x="3"/>
  </rowFields>
  <rowItems count="6">
    <i>
      <x/>
    </i>
    <i>
      <x v="1"/>
    </i>
    <i>
      <x v="2"/>
    </i>
    <i>
      <x v="3"/>
    </i>
    <i>
      <x v="4"/>
    </i>
    <i t="grand">
      <x/>
    </i>
  </rowItems>
  <colItems count="1">
    <i/>
  </colItems>
  <dataFields count="1">
    <dataField name="Average of Energy Consumed (kWh)" fld="4" subtotal="average" baseField="3" baseItem="0" numFmtId="2"/>
  </dataFields>
  <conditionalFormats count="1">
    <conditionalFormat priority="1">
      <pivotAreas count="1">
        <pivotArea type="data" collapsedLevelsAreSubtotals="1" fieldPosition="0">
          <references count="2">
            <reference field="4294967294" count="1" selected="0">
              <x v="0"/>
            </reference>
            <reference field="3" count="5">
              <x v="0"/>
              <x v="1"/>
              <x v="2"/>
              <x v="3"/>
              <x v="4"/>
            </reference>
          </references>
        </pivotArea>
      </pivotAreas>
    </conditionalFormat>
  </conditional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ser_Type" xr10:uid="{086E3225-54CE-473F-9233-BFF3FDC12C45}" sourceName="User Type">
  <pivotTables>
    <pivotTable tabId="6" name="PivotTable17"/>
    <pivotTable tabId="4" name="PivotTable1"/>
    <pivotTable tabId="5" name="PivotTable2"/>
    <pivotTable tabId="7" name="PivotTable18"/>
    <pivotTable tabId="8" name="PivotTable21"/>
  </pivotTables>
  <data>
    <tabular pivotCacheId="87122985">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of_Day" xr10:uid="{16002960-99E3-492C-98C1-5EA40789A5C5}" sourceName="Time of Day">
  <pivotTables>
    <pivotTable tabId="6" name="PivotTable17"/>
    <pivotTable tabId="4" name="PivotTable1"/>
    <pivotTable tabId="5" name="PivotTable2"/>
    <pivotTable tabId="7" name="PivotTable18"/>
    <pivotTable tabId="8" name="PivotTable21"/>
  </pivotTables>
  <data>
    <tabular pivotCacheId="87122985">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rger_Type" xr10:uid="{C37D18D3-8BD8-4442-A66E-5D9236FFDED1}" sourceName="Charger Type">
  <pivotTables>
    <pivotTable tabId="6" name="PivotTable17"/>
  </pivotTables>
  <data>
    <tabular pivotCacheId="87122985">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rging_Station_Location" xr10:uid="{F4A25749-F3C9-4407-9511-E762FC0F9F9C}" sourceName="Charging Station Location">
  <pivotTables>
    <pivotTable tabId="6" name="PivotTable17"/>
  </pivotTables>
  <data>
    <tabular pivotCacheId="87122985">
      <items count="5">
        <i x="0" s="1"/>
        <i x="4"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lter by User Type" xr10:uid="{05F95310-6658-46AD-8B4D-881616CC3903}" cache="Slicer_User_Type" caption="Filter User Type" style="SlicerStyleLight6" rowHeight="247650"/>
  <slicer name="Time of Day" xr10:uid="{EBC042DA-7776-456D-8CA7-1C1D336B35D8}" cache="Slicer_Time_of_Day" caption="Time of Day" style="SlicerStyleLight6" rowHeight="247650"/>
  <slicer name="Charger Type" xr10:uid="{B042DA60-4839-4299-891B-A0D30BEE2E8A}" cache="Slicer_Charger_Type" caption="Charger Type" style="SlicerStyleLight6" rowHeight="247650"/>
  <slicer name="Charging Station Location" xr10:uid="{AB64E3DB-B33C-4410-A55A-956E30F9CDBB}" cache="Slicer_Charging_Station_Location" caption="Charging Station Location" style="SlicerStyleLight6"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2.bin"/><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EB7E0-C49E-453D-9158-F1D478B5A0E9}">
  <dimension ref="A1:B18"/>
  <sheetViews>
    <sheetView zoomScale="55" workbookViewId="0">
      <selection activeCell="B17" sqref="B17"/>
    </sheetView>
  </sheetViews>
  <sheetFormatPr defaultColWidth="9.109375" defaultRowHeight="30" customHeight="1" x14ac:dyDescent="0.3"/>
  <cols>
    <col min="1" max="1" width="30.77734375" style="8" customWidth="1"/>
    <col min="2" max="2" width="147.33203125" style="8" bestFit="1" customWidth="1"/>
    <col min="3" max="16384" width="9.109375" style="8"/>
  </cols>
  <sheetData>
    <row r="1" spans="1:2" s="10" customFormat="1" ht="30" customHeight="1" x14ac:dyDescent="0.3">
      <c r="A1" s="9" t="s">
        <v>744</v>
      </c>
      <c r="B1" s="9" t="s">
        <v>745</v>
      </c>
    </row>
    <row r="2" spans="1:2" ht="30" customHeight="1" x14ac:dyDescent="0.3">
      <c r="A2" s="1" t="s">
        <v>0</v>
      </c>
      <c r="B2" s="7" t="s">
        <v>774</v>
      </c>
    </row>
    <row r="3" spans="1:2" ht="30" customHeight="1" x14ac:dyDescent="0.3">
      <c r="A3" s="1" t="s">
        <v>1</v>
      </c>
      <c r="B3" s="7" t="s">
        <v>772</v>
      </c>
    </row>
    <row r="4" spans="1:2" ht="30" customHeight="1" x14ac:dyDescent="0.3">
      <c r="A4" s="1" t="s">
        <v>2</v>
      </c>
      <c r="B4" s="7" t="s">
        <v>746</v>
      </c>
    </row>
    <row r="5" spans="1:2" ht="30" customHeight="1" x14ac:dyDescent="0.3">
      <c r="A5" s="1" t="s">
        <v>3</v>
      </c>
      <c r="B5" s="7" t="s">
        <v>767</v>
      </c>
    </row>
    <row r="6" spans="1:2" ht="30" customHeight="1" x14ac:dyDescent="0.3">
      <c r="A6" s="1" t="s">
        <v>4</v>
      </c>
      <c r="B6" s="7" t="s">
        <v>747</v>
      </c>
    </row>
    <row r="7" spans="1:2" ht="30" customHeight="1" x14ac:dyDescent="0.3">
      <c r="A7" s="1" t="s">
        <v>5</v>
      </c>
      <c r="B7" s="7" t="s">
        <v>748</v>
      </c>
    </row>
    <row r="8" spans="1:2" ht="30" customHeight="1" x14ac:dyDescent="0.3">
      <c r="A8" s="1" t="s">
        <v>6</v>
      </c>
      <c r="B8" s="7" t="s">
        <v>749</v>
      </c>
    </row>
    <row r="9" spans="1:2" ht="30" customHeight="1" x14ac:dyDescent="0.3">
      <c r="A9" s="1" t="s">
        <v>8</v>
      </c>
      <c r="B9" s="7" t="s">
        <v>750</v>
      </c>
    </row>
    <row r="10" spans="1:2" ht="30" customHeight="1" x14ac:dyDescent="0.3">
      <c r="A10" s="1" t="s">
        <v>9</v>
      </c>
      <c r="B10" s="7" t="s">
        <v>751</v>
      </c>
    </row>
    <row r="11" spans="1:2" ht="30" customHeight="1" x14ac:dyDescent="0.3">
      <c r="A11" s="1" t="s">
        <v>11</v>
      </c>
      <c r="B11" s="7" t="s">
        <v>773</v>
      </c>
    </row>
    <row r="12" spans="1:2" ht="30" customHeight="1" x14ac:dyDescent="0.3">
      <c r="A12" s="1" t="s">
        <v>742</v>
      </c>
      <c r="B12" s="7" t="s">
        <v>752</v>
      </c>
    </row>
    <row r="13" spans="1:2" ht="30" customHeight="1" x14ac:dyDescent="0.3">
      <c r="A13" s="1" t="s">
        <v>7</v>
      </c>
      <c r="B13" s="7" t="s">
        <v>755</v>
      </c>
    </row>
    <row r="14" spans="1:2" ht="30" customHeight="1" x14ac:dyDescent="0.3">
      <c r="A14" s="1" t="s">
        <v>10</v>
      </c>
      <c r="B14" s="7" t="s">
        <v>754</v>
      </c>
    </row>
    <row r="15" spans="1:2" ht="30" customHeight="1" x14ac:dyDescent="0.3">
      <c r="A15" s="1" t="s">
        <v>12</v>
      </c>
      <c r="B15" s="7" t="s">
        <v>756</v>
      </c>
    </row>
    <row r="16" spans="1:2" ht="30" customHeight="1" x14ac:dyDescent="0.3">
      <c r="A16" s="1" t="s">
        <v>766</v>
      </c>
      <c r="B16" s="7" t="s">
        <v>753</v>
      </c>
    </row>
    <row r="17" spans="1:2" ht="30" customHeight="1" x14ac:dyDescent="0.3">
      <c r="A17" s="1" t="s">
        <v>743</v>
      </c>
      <c r="B17" s="7" t="s">
        <v>765</v>
      </c>
    </row>
    <row r="18" spans="1:2" ht="30" customHeight="1" x14ac:dyDescent="0.3">
      <c r="B18" s="6"/>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7D672-6F62-4A01-87EE-BD13DF234394}">
  <dimension ref="A1:P725"/>
  <sheetViews>
    <sheetView workbookViewId="0">
      <pane ySplit="1" topLeftCell="A2" activePane="bottomLeft" state="frozen"/>
      <selection pane="bottomLeft" activeCell="Q4" sqref="Q4"/>
    </sheetView>
  </sheetViews>
  <sheetFormatPr defaultColWidth="18.77734375" defaultRowHeight="20.100000000000001" customHeight="1" x14ac:dyDescent="0.3"/>
  <cols>
    <col min="1" max="2" width="18.77734375" style="2"/>
    <col min="3" max="3" width="18.77734375" style="3"/>
    <col min="4" max="11" width="18.77734375" style="2"/>
    <col min="12" max="12" width="18.77734375" style="3"/>
    <col min="13" max="13" width="18.77734375" style="2"/>
    <col min="14" max="14" width="23" style="2" customWidth="1"/>
    <col min="15" max="16384" width="18.77734375" style="2"/>
  </cols>
  <sheetData>
    <row r="1" spans="1:16" s="11" customFormat="1" ht="54" x14ac:dyDescent="0.3">
      <c r="A1" s="12" t="s">
        <v>0</v>
      </c>
      <c r="B1" s="12" t="s">
        <v>1</v>
      </c>
      <c r="C1" s="13" t="s">
        <v>2</v>
      </c>
      <c r="D1" s="12" t="s">
        <v>3</v>
      </c>
      <c r="E1" s="12" t="s">
        <v>4</v>
      </c>
      <c r="F1" s="12" t="s">
        <v>5</v>
      </c>
      <c r="G1" s="12" t="s">
        <v>6</v>
      </c>
      <c r="H1" s="12" t="s">
        <v>7</v>
      </c>
      <c r="I1" s="12" t="s">
        <v>8</v>
      </c>
      <c r="J1" s="12" t="s">
        <v>9</v>
      </c>
      <c r="K1" s="12" t="s">
        <v>742</v>
      </c>
      <c r="L1" s="13" t="s">
        <v>10</v>
      </c>
      <c r="M1" s="12" t="s">
        <v>11</v>
      </c>
      <c r="N1" s="12" t="s">
        <v>12</v>
      </c>
      <c r="O1" s="12" t="s">
        <v>743</v>
      </c>
      <c r="P1" s="11" t="s">
        <v>775</v>
      </c>
    </row>
    <row r="2" spans="1:16" ht="20.100000000000001" customHeight="1" x14ac:dyDescent="0.3">
      <c r="A2" s="2" t="s">
        <v>13</v>
      </c>
      <c r="B2" s="2" t="s">
        <v>768</v>
      </c>
      <c r="C2" s="3">
        <v>108.4630074</v>
      </c>
      <c r="D2" s="2" t="s">
        <v>758</v>
      </c>
      <c r="E2" s="4">
        <v>60.712345730000003</v>
      </c>
      <c r="F2" s="4">
        <v>0.59136342500000005</v>
      </c>
      <c r="G2" s="4">
        <v>36.389180570000001</v>
      </c>
      <c r="H2" s="2" t="s">
        <v>14</v>
      </c>
      <c r="I2" s="4">
        <v>29.371575979999999</v>
      </c>
      <c r="J2" s="4">
        <v>86.119962439999995</v>
      </c>
      <c r="K2" s="5">
        <v>27.94795306</v>
      </c>
      <c r="L2" s="3">
        <v>2</v>
      </c>
      <c r="M2" s="2" t="s">
        <v>764</v>
      </c>
      <c r="N2" s="2" t="s">
        <v>15</v>
      </c>
      <c r="O2" s="4">
        <v>37.369059930620459</v>
      </c>
      <c r="P2" s="2" t="str">
        <f>IF(O2 &lt; 3, "Low", IF(O2 &lt; 10, "Acceptable", IF(O2 &lt; 20, "Superior", "Outstanding")))</f>
        <v>Outstanding</v>
      </c>
    </row>
    <row r="3" spans="1:16" ht="20.100000000000001" customHeight="1" x14ac:dyDescent="0.3">
      <c r="A3" s="2" t="s">
        <v>26</v>
      </c>
      <c r="B3" s="2" t="s">
        <v>769</v>
      </c>
      <c r="C3" s="3">
        <v>50</v>
      </c>
      <c r="D3" s="2" t="s">
        <v>757</v>
      </c>
      <c r="E3" s="4">
        <v>78.868607449999999</v>
      </c>
      <c r="F3" s="4">
        <v>2.0268746910000002</v>
      </c>
      <c r="G3" s="4">
        <v>11.760999719999999</v>
      </c>
      <c r="H3" s="2" t="s">
        <v>17</v>
      </c>
      <c r="I3" s="4">
        <v>27.399454630000001</v>
      </c>
      <c r="J3" s="4">
        <v>70.053381380000005</v>
      </c>
      <c r="K3" s="5">
        <v>27.51201936</v>
      </c>
      <c r="L3" s="3">
        <v>2.8303813070000001</v>
      </c>
      <c r="M3" s="2" t="s">
        <v>764</v>
      </c>
      <c r="N3" s="2" t="s">
        <v>15</v>
      </c>
      <c r="O3" s="4">
        <v>16.820279025234022</v>
      </c>
      <c r="P3" s="2" t="str">
        <f t="shared" ref="P3:P66" si="0">IF(O3 &lt; 3, "Low", IF(O3 &lt; 10, "Acceptable", IF(O3 &lt; 20, "Superior", "Outstanding")))</f>
        <v>Superior</v>
      </c>
    </row>
    <row r="4" spans="1:16" ht="20.100000000000001" customHeight="1" x14ac:dyDescent="0.3">
      <c r="A4" s="2" t="s">
        <v>561</v>
      </c>
      <c r="B4" s="2" t="s">
        <v>771</v>
      </c>
      <c r="C4" s="3">
        <v>100</v>
      </c>
      <c r="D4" s="2" t="s">
        <v>760</v>
      </c>
      <c r="E4" s="4">
        <v>24.8745406</v>
      </c>
      <c r="F4" s="4">
        <v>0.92715246699999998</v>
      </c>
      <c r="G4" s="4">
        <v>11.44140758</v>
      </c>
      <c r="H4" s="2" t="s">
        <v>14</v>
      </c>
      <c r="I4" s="4">
        <v>33.945608729999996</v>
      </c>
      <c r="J4" s="4">
        <v>58.135135099999999</v>
      </c>
      <c r="K4" s="5">
        <v>7.8790434349999998</v>
      </c>
      <c r="L4" s="3">
        <v>7</v>
      </c>
      <c r="M4" s="2" t="s">
        <v>762</v>
      </c>
      <c r="N4" s="2" t="s">
        <v>15</v>
      </c>
      <c r="O4" s="4">
        <v>6.0170335578533569</v>
      </c>
      <c r="P4" s="2" t="str">
        <f t="shared" si="0"/>
        <v>Acceptable</v>
      </c>
    </row>
    <row r="5" spans="1:16" ht="20.100000000000001" customHeight="1" x14ac:dyDescent="0.3">
      <c r="A5" s="2" t="s">
        <v>562</v>
      </c>
      <c r="B5" s="2" t="s">
        <v>768</v>
      </c>
      <c r="C5" s="3">
        <v>62</v>
      </c>
      <c r="D5" s="2" t="s">
        <v>757</v>
      </c>
      <c r="E5" s="4">
        <v>54.362185740000001</v>
      </c>
      <c r="F5" s="4">
        <v>1.925077717</v>
      </c>
      <c r="G5" s="4">
        <v>36.361278630000001</v>
      </c>
      <c r="H5" s="2" t="s">
        <v>17</v>
      </c>
      <c r="I5" s="4">
        <v>46.387337670000001</v>
      </c>
      <c r="J5" s="4">
        <v>77.340278710000007</v>
      </c>
      <c r="K5" s="5">
        <v>31.47819368</v>
      </c>
      <c r="L5" s="3">
        <v>7</v>
      </c>
      <c r="M5" s="2" t="s">
        <v>763</v>
      </c>
      <c r="N5" s="2" t="s">
        <v>18</v>
      </c>
      <c r="O5" s="4">
        <v>10.432551086097645</v>
      </c>
      <c r="P5" s="2" t="str">
        <f t="shared" si="0"/>
        <v>Superior</v>
      </c>
    </row>
    <row r="6" spans="1:16" ht="20.100000000000001" customHeight="1" x14ac:dyDescent="0.3">
      <c r="A6" s="2" t="s">
        <v>563</v>
      </c>
      <c r="B6" s="2" t="s">
        <v>768</v>
      </c>
      <c r="C6" s="3">
        <v>75</v>
      </c>
      <c r="D6" s="2" t="s">
        <v>761</v>
      </c>
      <c r="E6" s="4">
        <v>28.215649389999999</v>
      </c>
      <c r="F6" s="4">
        <v>2.4068069240000001</v>
      </c>
      <c r="G6" s="4">
        <v>23.693078849999999</v>
      </c>
      <c r="H6" s="2" t="s">
        <v>24</v>
      </c>
      <c r="I6" s="4">
        <v>18.517104289999999</v>
      </c>
      <c r="J6" s="4">
        <v>86.579902430000004</v>
      </c>
      <c r="K6" s="5">
        <v>28.843991320000001</v>
      </c>
      <c r="L6" s="3">
        <v>1.038973299</v>
      </c>
      <c r="M6" s="2" t="s">
        <v>763</v>
      </c>
      <c r="N6" s="2" t="s">
        <v>15</v>
      </c>
      <c r="O6" s="4">
        <v>14.403270366154384</v>
      </c>
      <c r="P6" s="2" t="str">
        <f t="shared" si="0"/>
        <v>Superior</v>
      </c>
    </row>
    <row r="7" spans="1:16" ht="20.100000000000001" customHeight="1" x14ac:dyDescent="0.3">
      <c r="A7" s="2" t="s">
        <v>564</v>
      </c>
      <c r="B7" s="2" t="s">
        <v>768</v>
      </c>
      <c r="C7" s="3">
        <v>75</v>
      </c>
      <c r="D7" s="2" t="s">
        <v>761</v>
      </c>
      <c r="E7" s="4">
        <v>42.285534779999999</v>
      </c>
      <c r="F7" s="4">
        <v>2.7118511289999998</v>
      </c>
      <c r="G7" s="4">
        <v>19.16718328</v>
      </c>
      <c r="H7" s="2" t="s">
        <v>17</v>
      </c>
      <c r="I7" s="4">
        <v>89.039528910000001</v>
      </c>
      <c r="J7" s="4">
        <v>98.831055070000005</v>
      </c>
      <c r="K7" s="5">
        <v>37.902021210000001</v>
      </c>
      <c r="L7" s="3">
        <v>5</v>
      </c>
      <c r="M7" s="2" t="s">
        <v>762</v>
      </c>
      <c r="N7" s="2" t="s">
        <v>21</v>
      </c>
      <c r="O7" s="4">
        <v>3.1052993999096996</v>
      </c>
      <c r="P7" s="2" t="str">
        <f t="shared" si="0"/>
        <v>Acceptable</v>
      </c>
    </row>
    <row r="8" spans="1:16" ht="20.100000000000001" customHeight="1" x14ac:dyDescent="0.3">
      <c r="A8" s="2" t="s">
        <v>565</v>
      </c>
      <c r="B8" s="2" t="s">
        <v>769</v>
      </c>
      <c r="C8" s="3">
        <v>85</v>
      </c>
      <c r="D8" s="2" t="s">
        <v>760</v>
      </c>
      <c r="E8" s="4">
        <v>76.173300810000001</v>
      </c>
      <c r="F8" s="4">
        <v>1.5060998969999999</v>
      </c>
      <c r="G8" s="4">
        <v>28.58745278</v>
      </c>
      <c r="H8" s="2" t="s">
        <v>24</v>
      </c>
      <c r="I8" s="4">
        <v>56.067684630000002</v>
      </c>
      <c r="J8" s="4">
        <v>93.038495240000003</v>
      </c>
      <c r="K8" s="5">
        <v>18.04509607</v>
      </c>
      <c r="L8" s="3">
        <v>0</v>
      </c>
      <c r="M8" s="2" t="s">
        <v>764</v>
      </c>
      <c r="N8" s="2" t="s">
        <v>18</v>
      </c>
      <c r="O8" s="4">
        <v>23.93760376117309</v>
      </c>
      <c r="P8" s="2" t="str">
        <f t="shared" si="0"/>
        <v>Outstanding</v>
      </c>
    </row>
    <row r="9" spans="1:16" ht="20.100000000000001" customHeight="1" x14ac:dyDescent="0.3">
      <c r="A9" s="2" t="s">
        <v>566</v>
      </c>
      <c r="B9" s="2" t="s">
        <v>770</v>
      </c>
      <c r="C9" s="3">
        <v>50</v>
      </c>
      <c r="D9" s="2" t="s">
        <v>760</v>
      </c>
      <c r="E9" s="4">
        <v>34.955124410000003</v>
      </c>
      <c r="F9" s="4">
        <v>1.6847005049999999</v>
      </c>
      <c r="G9" s="4">
        <v>12.02937483</v>
      </c>
      <c r="H9" s="2" t="s">
        <v>17</v>
      </c>
      <c r="I9" s="4">
        <v>65.08674311</v>
      </c>
      <c r="J9" s="4">
        <v>78.379290740000002</v>
      </c>
      <c r="K9" s="5">
        <v>4.9456020599999997</v>
      </c>
      <c r="L9" s="3">
        <v>1.058056667</v>
      </c>
      <c r="M9" s="2" t="s">
        <v>762</v>
      </c>
      <c r="N9" s="2" t="s">
        <v>18</v>
      </c>
      <c r="O9" s="4">
        <v>2.3232132806625039</v>
      </c>
      <c r="P9" s="2" t="str">
        <f t="shared" si="0"/>
        <v>Low</v>
      </c>
    </row>
    <row r="10" spans="1:16" ht="20.100000000000001" customHeight="1" x14ac:dyDescent="0.3">
      <c r="A10" s="2" t="s">
        <v>567</v>
      </c>
      <c r="B10" s="2" t="s">
        <v>22</v>
      </c>
      <c r="C10" s="3">
        <v>50</v>
      </c>
      <c r="D10" s="2" t="s">
        <v>760</v>
      </c>
      <c r="E10" s="4">
        <v>69.874547980000003</v>
      </c>
      <c r="F10" s="4">
        <v>2.014628042</v>
      </c>
      <c r="G10" s="4">
        <v>16.510459619999999</v>
      </c>
      <c r="H10" s="2" t="s">
        <v>17</v>
      </c>
      <c r="I10" s="4">
        <v>40.281843479999999</v>
      </c>
      <c r="J10" s="4">
        <v>72.009038720000007</v>
      </c>
      <c r="K10" s="5">
        <v>2.773001448</v>
      </c>
      <c r="L10" s="3">
        <v>4</v>
      </c>
      <c r="M10" s="2" t="s">
        <v>763</v>
      </c>
      <c r="N10" s="2" t="s">
        <v>18</v>
      </c>
      <c r="O10" s="4">
        <v>11.084617130341041</v>
      </c>
      <c r="P10" s="2" t="str">
        <f t="shared" si="0"/>
        <v>Superior</v>
      </c>
    </row>
    <row r="11" spans="1:16" ht="20.100000000000001" customHeight="1" x14ac:dyDescent="0.3">
      <c r="A11" s="2" t="s">
        <v>568</v>
      </c>
      <c r="B11" s="2" t="s">
        <v>770</v>
      </c>
      <c r="C11" s="3">
        <v>100</v>
      </c>
      <c r="D11" s="2" t="s">
        <v>760</v>
      </c>
      <c r="E11" s="4">
        <v>10.431673460000001</v>
      </c>
      <c r="F11" s="4">
        <v>3.3131624319999999</v>
      </c>
      <c r="G11" s="4">
        <v>31.392076599999999</v>
      </c>
      <c r="H11" s="2" t="s">
        <v>17</v>
      </c>
      <c r="I11" s="4">
        <v>47.663262240000002</v>
      </c>
      <c r="J11" s="4">
        <v>72.191575259999993</v>
      </c>
      <c r="K11" s="5">
        <v>5.4439604060000004</v>
      </c>
      <c r="L11" s="3">
        <v>7</v>
      </c>
      <c r="M11" s="2" t="s">
        <v>763</v>
      </c>
      <c r="N11" s="2" t="s">
        <v>15</v>
      </c>
      <c r="O11" s="4">
        <v>2.5587135194930637</v>
      </c>
      <c r="P11" s="2" t="str">
        <f t="shared" si="0"/>
        <v>Low</v>
      </c>
    </row>
    <row r="12" spans="1:16" ht="20.100000000000001" customHeight="1" x14ac:dyDescent="0.3">
      <c r="A12" s="2" t="s">
        <v>569</v>
      </c>
      <c r="B12" s="2" t="s">
        <v>771</v>
      </c>
      <c r="C12" s="3">
        <v>50</v>
      </c>
      <c r="D12" s="2" t="s">
        <v>759</v>
      </c>
      <c r="E12" s="4">
        <v>46.538021919999998</v>
      </c>
      <c r="F12" s="4">
        <v>3.4273687110000002</v>
      </c>
      <c r="G12" s="4">
        <v>7.1953319059999998</v>
      </c>
      <c r="H12" s="2" t="s">
        <v>17</v>
      </c>
      <c r="I12" s="4">
        <v>78.59233356</v>
      </c>
      <c r="J12" s="4">
        <v>82.779988459999998</v>
      </c>
      <c r="K12" s="5">
        <v>29.373846400000001</v>
      </c>
      <c r="L12" s="3">
        <v>3</v>
      </c>
      <c r="M12" s="2" t="s">
        <v>764</v>
      </c>
      <c r="N12" s="2" t="s">
        <v>18</v>
      </c>
      <c r="O12" s="4">
        <v>0.97442587764797661</v>
      </c>
      <c r="P12" s="2" t="str">
        <f t="shared" si="0"/>
        <v>Low</v>
      </c>
    </row>
    <row r="13" spans="1:16" ht="20.100000000000001" customHeight="1" x14ac:dyDescent="0.3">
      <c r="A13" s="2" t="s">
        <v>570</v>
      </c>
      <c r="B13" s="2" t="s">
        <v>769</v>
      </c>
      <c r="C13" s="3">
        <v>50</v>
      </c>
      <c r="D13" s="2" t="s">
        <v>759</v>
      </c>
      <c r="E13" s="4">
        <v>53.206393550000001</v>
      </c>
      <c r="F13" s="4">
        <v>3.9490962490000001</v>
      </c>
      <c r="G13" s="4">
        <v>47.633710499999999</v>
      </c>
      <c r="H13" s="2" t="s">
        <v>28</v>
      </c>
      <c r="I13" s="4">
        <v>82.904926570000001</v>
      </c>
      <c r="J13" s="4">
        <v>91.603298769999995</v>
      </c>
      <c r="K13" s="5">
        <v>11.39372419</v>
      </c>
      <c r="L13" s="3">
        <v>2</v>
      </c>
      <c r="M13" s="2" t="s">
        <v>762</v>
      </c>
      <c r="N13" s="2" t="s">
        <v>21</v>
      </c>
      <c r="O13" s="4">
        <v>2.3140450725878954</v>
      </c>
      <c r="P13" s="2" t="str">
        <f t="shared" si="0"/>
        <v>Low</v>
      </c>
    </row>
    <row r="14" spans="1:16" ht="20.100000000000001" customHeight="1" x14ac:dyDescent="0.3">
      <c r="A14" s="2" t="s">
        <v>571</v>
      </c>
      <c r="B14" s="2" t="s">
        <v>771</v>
      </c>
      <c r="C14" s="3">
        <v>50</v>
      </c>
      <c r="D14" s="2" t="s">
        <v>761</v>
      </c>
      <c r="E14" s="4">
        <v>26.967931</v>
      </c>
      <c r="F14" s="4">
        <v>2.7352531600000001</v>
      </c>
      <c r="G14" s="4">
        <v>15.82216479</v>
      </c>
      <c r="H14" s="2" t="s">
        <v>14</v>
      </c>
      <c r="I14" s="4">
        <v>71.879746049999994</v>
      </c>
      <c r="J14" s="4">
        <v>94.005508250000005</v>
      </c>
      <c r="K14" s="5">
        <v>39.774029900000002</v>
      </c>
      <c r="L14" s="3">
        <v>6</v>
      </c>
      <c r="M14" s="2" t="s">
        <v>762</v>
      </c>
      <c r="N14" s="2" t="s">
        <v>21</v>
      </c>
      <c r="O14" s="4">
        <v>2.9834301416600426</v>
      </c>
      <c r="P14" s="2" t="str">
        <f t="shared" si="0"/>
        <v>Low</v>
      </c>
    </row>
    <row r="15" spans="1:16" ht="20.100000000000001" customHeight="1" x14ac:dyDescent="0.3">
      <c r="A15" s="2" t="s">
        <v>572</v>
      </c>
      <c r="B15" s="2" t="s">
        <v>769</v>
      </c>
      <c r="C15" s="3">
        <v>100</v>
      </c>
      <c r="D15" s="2" t="s">
        <v>758</v>
      </c>
      <c r="E15" s="4">
        <v>71.708506880000002</v>
      </c>
      <c r="F15" s="4">
        <v>5.4440915959999998</v>
      </c>
      <c r="G15" s="4">
        <v>38.796076550000002</v>
      </c>
      <c r="H15" s="2" t="s">
        <v>24</v>
      </c>
      <c r="I15" s="4">
        <v>12.223423199999999</v>
      </c>
      <c r="J15" s="4">
        <v>77.413347340000001</v>
      </c>
      <c r="K15" s="5">
        <v>2.6161262270000001</v>
      </c>
      <c r="L15" s="3">
        <v>7</v>
      </c>
      <c r="M15" s="2" t="s">
        <v>762</v>
      </c>
      <c r="N15" s="2" t="s">
        <v>18</v>
      </c>
      <c r="O15" s="4">
        <v>46.746721236998681</v>
      </c>
      <c r="P15" s="2" t="str">
        <f t="shared" si="0"/>
        <v>Outstanding</v>
      </c>
    </row>
    <row r="16" spans="1:16" ht="20.100000000000001" customHeight="1" x14ac:dyDescent="0.3">
      <c r="A16" s="2" t="s">
        <v>573</v>
      </c>
      <c r="B16" s="2" t="s">
        <v>769</v>
      </c>
      <c r="C16" s="3">
        <v>50</v>
      </c>
      <c r="D16" s="2" t="s">
        <v>757</v>
      </c>
      <c r="E16" s="4">
        <v>79.24854612</v>
      </c>
      <c r="F16" s="4">
        <v>1.773718519</v>
      </c>
      <c r="G16" s="4">
        <v>33.005131380000002</v>
      </c>
      <c r="H16" s="2" t="s">
        <v>17</v>
      </c>
      <c r="I16" s="4">
        <v>51.377889209999999</v>
      </c>
      <c r="J16" s="4">
        <v>73.609002239999995</v>
      </c>
      <c r="K16" s="5">
        <v>12.536190169999999</v>
      </c>
      <c r="L16" s="3">
        <v>0.81431449199999995</v>
      </c>
      <c r="M16" s="2" t="s">
        <v>762</v>
      </c>
      <c r="N16" s="2" t="s">
        <v>18</v>
      </c>
      <c r="O16" s="4">
        <v>8.808916931284438</v>
      </c>
      <c r="P16" s="2" t="str">
        <f t="shared" si="0"/>
        <v>Acceptable</v>
      </c>
    </row>
    <row r="17" spans="1:16" ht="20.100000000000001" customHeight="1" x14ac:dyDescent="0.3">
      <c r="A17" s="2" t="s">
        <v>574</v>
      </c>
      <c r="B17" s="2" t="s">
        <v>22</v>
      </c>
      <c r="C17" s="3">
        <v>157.57577889999999</v>
      </c>
      <c r="D17" s="2" t="s">
        <v>759</v>
      </c>
      <c r="E17" s="4">
        <v>34.149200120000003</v>
      </c>
      <c r="F17" s="4">
        <v>3.9755653770000001</v>
      </c>
      <c r="G17" s="4">
        <v>48.766303690000001</v>
      </c>
      <c r="H17" s="2" t="s">
        <v>14</v>
      </c>
      <c r="I17" s="4">
        <v>33.908972679999998</v>
      </c>
      <c r="J17" s="4">
        <v>92.754701839999996</v>
      </c>
      <c r="K17" s="5">
        <v>19.730892650000001</v>
      </c>
      <c r="L17" s="3">
        <v>5</v>
      </c>
      <c r="M17" s="2" t="s">
        <v>764</v>
      </c>
      <c r="N17" s="2" t="s">
        <v>15</v>
      </c>
      <c r="O17" s="4">
        <v>31.665397687359736</v>
      </c>
      <c r="P17" s="2" t="str">
        <f t="shared" si="0"/>
        <v>Outstanding</v>
      </c>
    </row>
    <row r="18" spans="1:16" ht="20.100000000000001" customHeight="1" x14ac:dyDescent="0.3">
      <c r="A18" s="2" t="s">
        <v>74</v>
      </c>
      <c r="B18" s="2" t="s">
        <v>770</v>
      </c>
      <c r="C18" s="3">
        <v>100</v>
      </c>
      <c r="D18" s="2" t="s">
        <v>761</v>
      </c>
      <c r="E18" s="4">
        <v>74.153660160000001</v>
      </c>
      <c r="F18" s="4">
        <v>4.1230643960000002</v>
      </c>
      <c r="G18" s="4">
        <v>31.277429489999999</v>
      </c>
      <c r="H18" s="2" t="s">
        <v>17</v>
      </c>
      <c r="I18" s="4">
        <v>12.956988020000001</v>
      </c>
      <c r="J18" s="4">
        <v>52.989967100000001</v>
      </c>
      <c r="K18" s="5">
        <v>35.793153619999998</v>
      </c>
      <c r="L18" s="3">
        <v>0</v>
      </c>
      <c r="M18" s="2" t="s">
        <v>764</v>
      </c>
      <c r="N18" s="2" t="s">
        <v>21</v>
      </c>
      <c r="O18" s="4">
        <v>29.685919258907099</v>
      </c>
      <c r="P18" s="2" t="str">
        <f t="shared" si="0"/>
        <v>Outstanding</v>
      </c>
    </row>
    <row r="19" spans="1:16" ht="20.100000000000001" customHeight="1" x14ac:dyDescent="0.3">
      <c r="A19" s="2" t="s">
        <v>575</v>
      </c>
      <c r="B19" s="2" t="s">
        <v>768</v>
      </c>
      <c r="C19" s="3">
        <v>86.092479909999994</v>
      </c>
      <c r="D19" s="2" t="s">
        <v>760</v>
      </c>
      <c r="E19" s="4">
        <v>66.706251109999997</v>
      </c>
      <c r="F19" s="4">
        <v>2.8343115679999999</v>
      </c>
      <c r="G19" s="4">
        <v>25.290644950000001</v>
      </c>
      <c r="H19" s="2" t="s">
        <v>24</v>
      </c>
      <c r="I19" s="4">
        <v>44.013429840000001</v>
      </c>
      <c r="J19" s="4">
        <v>99.689689830000006</v>
      </c>
      <c r="K19" s="5">
        <v>31.488732070000001</v>
      </c>
      <c r="L19" s="3">
        <v>6</v>
      </c>
      <c r="M19" s="2" t="s">
        <v>762</v>
      </c>
      <c r="N19" s="2" t="s">
        <v>18</v>
      </c>
      <c r="O19" s="4">
        <v>31.97435600445186</v>
      </c>
      <c r="P19" s="2" t="str">
        <f t="shared" si="0"/>
        <v>Outstanding</v>
      </c>
    </row>
    <row r="20" spans="1:16" ht="20.100000000000001" customHeight="1" x14ac:dyDescent="0.3">
      <c r="A20" s="2" t="s">
        <v>576</v>
      </c>
      <c r="B20" s="2" t="s">
        <v>770</v>
      </c>
      <c r="C20" s="3">
        <v>62</v>
      </c>
      <c r="D20" s="2" t="s">
        <v>761</v>
      </c>
      <c r="E20" s="4">
        <v>30.773548130000002</v>
      </c>
      <c r="F20" s="4">
        <v>3.097914083</v>
      </c>
      <c r="G20" s="4">
        <v>49.751796900000002</v>
      </c>
      <c r="H20" s="2" t="s">
        <v>24</v>
      </c>
      <c r="I20" s="4">
        <v>2.4811528329999999</v>
      </c>
      <c r="J20" s="4">
        <v>83.484869360000005</v>
      </c>
      <c r="K20" s="5">
        <v>12.807352549999999</v>
      </c>
      <c r="L20" s="3">
        <v>1</v>
      </c>
      <c r="M20" s="2" t="s">
        <v>763</v>
      </c>
      <c r="N20" s="2" t="s">
        <v>21</v>
      </c>
      <c r="O20" s="4">
        <v>15.45518496936557</v>
      </c>
      <c r="P20" s="2" t="str">
        <f t="shared" si="0"/>
        <v>Superior</v>
      </c>
    </row>
    <row r="21" spans="1:16" ht="20.100000000000001" customHeight="1" x14ac:dyDescent="0.3">
      <c r="A21" s="2" t="s">
        <v>577</v>
      </c>
      <c r="B21" s="2" t="s">
        <v>770</v>
      </c>
      <c r="C21" s="3">
        <v>50</v>
      </c>
      <c r="D21" s="2" t="s">
        <v>757</v>
      </c>
      <c r="E21" s="4">
        <v>24.155781560000001</v>
      </c>
      <c r="F21" s="4">
        <v>2.30271121</v>
      </c>
      <c r="G21" s="4">
        <v>4.7841466629999996</v>
      </c>
      <c r="H21" s="2" t="s">
        <v>14</v>
      </c>
      <c r="I21" s="4">
        <v>47.690745479999997</v>
      </c>
      <c r="J21" s="4">
        <v>75.971160889999993</v>
      </c>
      <c r="K21" s="5">
        <v>23.40301453</v>
      </c>
      <c r="L21" s="3">
        <v>0</v>
      </c>
      <c r="M21" s="2" t="s">
        <v>764</v>
      </c>
      <c r="N21" s="2" t="s">
        <v>15</v>
      </c>
      <c r="O21" s="4">
        <v>3.4156776853500896</v>
      </c>
      <c r="P21" s="2" t="str">
        <f t="shared" si="0"/>
        <v>Acceptable</v>
      </c>
    </row>
    <row r="22" spans="1:16" ht="20.100000000000001" customHeight="1" x14ac:dyDescent="0.3">
      <c r="A22" s="2" t="s">
        <v>578</v>
      </c>
      <c r="B22" s="2" t="s">
        <v>771</v>
      </c>
      <c r="C22" s="3">
        <v>62</v>
      </c>
      <c r="D22" s="2" t="s">
        <v>759</v>
      </c>
      <c r="E22" s="4">
        <v>10.347606689999999</v>
      </c>
      <c r="F22" s="4">
        <v>3.3184757490000001</v>
      </c>
      <c r="G22" s="4">
        <v>9.3916357940000008</v>
      </c>
      <c r="H22" s="2" t="s">
        <v>17</v>
      </c>
      <c r="I22" s="4">
        <v>42.655342539999999</v>
      </c>
      <c r="J22" s="4">
        <v>79.511090440000004</v>
      </c>
      <c r="K22" s="5">
        <v>37.462706490000002</v>
      </c>
      <c r="L22" s="3">
        <v>7</v>
      </c>
      <c r="M22" s="2" t="s">
        <v>763</v>
      </c>
      <c r="N22" s="2" t="s">
        <v>15</v>
      </c>
      <c r="O22" s="4">
        <v>2.3644864579169593</v>
      </c>
      <c r="P22" s="2" t="str">
        <f t="shared" si="0"/>
        <v>Low</v>
      </c>
    </row>
    <row r="23" spans="1:16" ht="20.100000000000001" customHeight="1" x14ac:dyDescent="0.3">
      <c r="A23" s="2" t="s">
        <v>579</v>
      </c>
      <c r="B23" s="2" t="s">
        <v>769</v>
      </c>
      <c r="C23" s="3">
        <v>62</v>
      </c>
      <c r="D23" s="2" t="s">
        <v>761</v>
      </c>
      <c r="E23" s="4">
        <v>26.304534660000002</v>
      </c>
      <c r="F23" s="4">
        <v>3.584508026</v>
      </c>
      <c r="G23" s="4">
        <v>49.88918288</v>
      </c>
      <c r="H23" s="2" t="s">
        <v>24</v>
      </c>
      <c r="I23" s="4">
        <v>52.298890780000001</v>
      </c>
      <c r="J23" s="4">
        <v>71.436421030000005</v>
      </c>
      <c r="K23" s="5">
        <v>31.421900140000002</v>
      </c>
      <c r="L23" s="3">
        <v>3</v>
      </c>
      <c r="M23" s="2" t="s">
        <v>764</v>
      </c>
      <c r="N23" s="2" t="s">
        <v>15</v>
      </c>
      <c r="O23" s="4">
        <v>3.1211037321611261</v>
      </c>
      <c r="P23" s="2" t="str">
        <f t="shared" si="0"/>
        <v>Acceptable</v>
      </c>
    </row>
    <row r="24" spans="1:16" ht="20.100000000000001" customHeight="1" x14ac:dyDescent="0.3">
      <c r="A24" s="2" t="s">
        <v>580</v>
      </c>
      <c r="B24" s="2" t="s">
        <v>22</v>
      </c>
      <c r="C24" s="3">
        <v>85</v>
      </c>
      <c r="D24" s="2" t="s">
        <v>758</v>
      </c>
      <c r="E24" s="4">
        <v>44.015951659999999</v>
      </c>
      <c r="F24" s="4">
        <v>1.324310297</v>
      </c>
      <c r="G24" s="4">
        <v>38.105277909999998</v>
      </c>
      <c r="H24" s="2" t="s">
        <v>24</v>
      </c>
      <c r="I24" s="4">
        <v>73.346217670000001</v>
      </c>
      <c r="J24" s="4">
        <v>78.159929829999996</v>
      </c>
      <c r="K24" s="5">
        <v>5.8795361540000002</v>
      </c>
      <c r="L24" s="3">
        <v>5</v>
      </c>
      <c r="M24" s="2" t="s">
        <v>763</v>
      </c>
      <c r="N24" s="2" t="s">
        <v>18</v>
      </c>
      <c r="O24" s="4">
        <v>1.8009810347875685</v>
      </c>
      <c r="P24" s="2" t="str">
        <f t="shared" si="0"/>
        <v>Low</v>
      </c>
    </row>
    <row r="25" spans="1:16" ht="20.100000000000001" customHeight="1" x14ac:dyDescent="0.3">
      <c r="A25" s="2" t="s">
        <v>581</v>
      </c>
      <c r="B25" s="2" t="s">
        <v>768</v>
      </c>
      <c r="C25" s="3">
        <v>85</v>
      </c>
      <c r="D25" s="2" t="s">
        <v>761</v>
      </c>
      <c r="E25" s="4">
        <v>18.43394631</v>
      </c>
      <c r="F25" s="4">
        <v>1.615459296</v>
      </c>
      <c r="G25" s="4">
        <v>22.324697109999999</v>
      </c>
      <c r="H25" s="2" t="s">
        <v>24</v>
      </c>
      <c r="I25" s="4">
        <v>53.517570859999999</v>
      </c>
      <c r="J25" s="4">
        <v>95.646611859999993</v>
      </c>
      <c r="K25" s="5">
        <v>30.51992151</v>
      </c>
      <c r="L25" s="3">
        <v>2</v>
      </c>
      <c r="M25" s="2" t="s">
        <v>763</v>
      </c>
      <c r="N25" s="2" t="s">
        <v>15</v>
      </c>
      <c r="O25" s="4">
        <v>6.6011380790292034</v>
      </c>
      <c r="P25" s="2" t="str">
        <f t="shared" si="0"/>
        <v>Acceptable</v>
      </c>
    </row>
    <row r="26" spans="1:16" ht="20.100000000000001" customHeight="1" x14ac:dyDescent="0.3">
      <c r="A26" s="2" t="s">
        <v>582</v>
      </c>
      <c r="B26" s="2" t="s">
        <v>770</v>
      </c>
      <c r="C26" s="3">
        <v>62</v>
      </c>
      <c r="D26" s="2" t="s">
        <v>757</v>
      </c>
      <c r="E26" s="4">
        <v>37.703118719999999</v>
      </c>
      <c r="F26" s="4">
        <v>2.7346727080000002</v>
      </c>
      <c r="G26" s="4">
        <v>34.722463089999998</v>
      </c>
      <c r="H26" s="2" t="s">
        <v>14</v>
      </c>
      <c r="I26" s="4">
        <v>46.562188399999997</v>
      </c>
      <c r="J26" s="4">
        <v>52.457227199999998</v>
      </c>
      <c r="K26" s="5">
        <v>6.6727664139999998</v>
      </c>
      <c r="L26" s="3">
        <v>5</v>
      </c>
      <c r="M26" s="2" t="s">
        <v>762</v>
      </c>
      <c r="N26" s="2" t="s">
        <v>18</v>
      </c>
      <c r="O26" s="4">
        <v>1.3780203559595197</v>
      </c>
      <c r="P26" s="2" t="str">
        <f t="shared" si="0"/>
        <v>Low</v>
      </c>
    </row>
    <row r="27" spans="1:16" ht="20.100000000000001" customHeight="1" x14ac:dyDescent="0.3">
      <c r="A27" s="2" t="s">
        <v>583</v>
      </c>
      <c r="B27" s="2" t="s">
        <v>769</v>
      </c>
      <c r="C27" s="3">
        <v>100</v>
      </c>
      <c r="D27" s="2" t="s">
        <v>759</v>
      </c>
      <c r="E27" s="4">
        <v>56.19836617</v>
      </c>
      <c r="F27" s="4">
        <v>0.18247956700000001</v>
      </c>
      <c r="G27" s="4">
        <v>40.72369853</v>
      </c>
      <c r="H27" s="2" t="s">
        <v>17</v>
      </c>
      <c r="I27" s="4">
        <v>56.029456170000003</v>
      </c>
      <c r="J27" s="4">
        <v>65.414170619999993</v>
      </c>
      <c r="K27" s="5">
        <v>34.059341320000001</v>
      </c>
      <c r="L27" s="3">
        <v>1</v>
      </c>
      <c r="M27" s="2" t="s">
        <v>763</v>
      </c>
      <c r="N27" s="2" t="s">
        <v>18</v>
      </c>
      <c r="O27" s="4">
        <v>5.2740561906198957</v>
      </c>
      <c r="P27" s="2" t="str">
        <f t="shared" si="0"/>
        <v>Acceptable</v>
      </c>
    </row>
    <row r="28" spans="1:16" ht="20.100000000000001" customHeight="1" x14ac:dyDescent="0.3">
      <c r="A28" s="2" t="s">
        <v>584</v>
      </c>
      <c r="B28" s="2" t="s">
        <v>770</v>
      </c>
      <c r="C28" s="3">
        <v>100</v>
      </c>
      <c r="D28" s="2" t="s">
        <v>760</v>
      </c>
      <c r="E28" s="4">
        <v>76.892400100000003</v>
      </c>
      <c r="F28" s="4">
        <v>7.6351447590000001</v>
      </c>
      <c r="G28" s="4">
        <v>10.44614576</v>
      </c>
      <c r="H28" s="2" t="s">
        <v>28</v>
      </c>
      <c r="I28" s="4">
        <v>7.1742712549999998</v>
      </c>
      <c r="J28" s="4">
        <v>101.84442199999999</v>
      </c>
      <c r="K28" s="5">
        <v>32.882702170000002</v>
      </c>
      <c r="L28" s="3">
        <v>2</v>
      </c>
      <c r="M28" s="2" t="s">
        <v>762</v>
      </c>
      <c r="N28" s="2" t="s">
        <v>18</v>
      </c>
      <c r="O28" s="4">
        <v>72.794151086118532</v>
      </c>
      <c r="P28" s="2" t="str">
        <f t="shared" si="0"/>
        <v>Outstanding</v>
      </c>
    </row>
    <row r="29" spans="1:16" ht="20.100000000000001" customHeight="1" x14ac:dyDescent="0.3">
      <c r="A29" s="2" t="s">
        <v>585</v>
      </c>
      <c r="B29" s="2" t="s">
        <v>770</v>
      </c>
      <c r="C29" s="3">
        <v>60.659690980000001</v>
      </c>
      <c r="D29" s="2" t="s">
        <v>758</v>
      </c>
      <c r="E29" s="4">
        <v>66.091534030000005</v>
      </c>
      <c r="F29" s="4">
        <v>1.272887206</v>
      </c>
      <c r="G29" s="4">
        <v>37.600563059999999</v>
      </c>
      <c r="H29" s="2" t="s">
        <v>14</v>
      </c>
      <c r="I29" s="4">
        <v>42.301367239999998</v>
      </c>
      <c r="J29" s="4">
        <v>70.726317129999998</v>
      </c>
      <c r="K29" s="5">
        <v>9.9539244290000006</v>
      </c>
      <c r="L29" s="3">
        <v>1.719888608</v>
      </c>
      <c r="M29" s="2" t="s">
        <v>763</v>
      </c>
      <c r="N29" s="2" t="s">
        <v>18</v>
      </c>
      <c r="O29" s="4">
        <v>11.395824007573701</v>
      </c>
      <c r="P29" s="2" t="str">
        <f t="shared" si="0"/>
        <v>Superior</v>
      </c>
    </row>
    <row r="30" spans="1:16" ht="20.100000000000001" customHeight="1" x14ac:dyDescent="0.3">
      <c r="A30" s="2" t="s">
        <v>586</v>
      </c>
      <c r="B30" s="2" t="s">
        <v>22</v>
      </c>
      <c r="C30" s="3">
        <v>62</v>
      </c>
      <c r="D30" s="2" t="s">
        <v>760</v>
      </c>
      <c r="E30" s="4">
        <v>6.9184237399999997</v>
      </c>
      <c r="F30" s="4">
        <v>5.5054958420000002</v>
      </c>
      <c r="G30" s="4">
        <v>49.061090559999997</v>
      </c>
      <c r="H30" s="2" t="s">
        <v>24</v>
      </c>
      <c r="I30" s="4">
        <v>24.665843379999998</v>
      </c>
      <c r="J30" s="4">
        <v>70.791756120000002</v>
      </c>
      <c r="K30" s="5">
        <v>26.203538519999999</v>
      </c>
      <c r="L30" s="3">
        <v>1</v>
      </c>
      <c r="M30" s="2" t="s">
        <v>764</v>
      </c>
      <c r="N30" s="2" t="s">
        <v>18</v>
      </c>
      <c r="O30" s="4">
        <v>1.9785353803234236</v>
      </c>
      <c r="P30" s="2" t="str">
        <f t="shared" si="0"/>
        <v>Low</v>
      </c>
    </row>
    <row r="31" spans="1:16" ht="20.100000000000001" customHeight="1" x14ac:dyDescent="0.3">
      <c r="A31" s="2" t="s">
        <v>587</v>
      </c>
      <c r="B31" s="2" t="s">
        <v>22</v>
      </c>
      <c r="C31" s="3">
        <v>85</v>
      </c>
      <c r="D31" s="2" t="s">
        <v>757</v>
      </c>
      <c r="E31" s="4">
        <v>61.038062789999998</v>
      </c>
      <c r="F31" s="4">
        <v>1.9937683960000001</v>
      </c>
      <c r="G31" s="4">
        <v>41.54944192</v>
      </c>
      <c r="H31" s="2" t="s">
        <v>24</v>
      </c>
      <c r="I31" s="4">
        <v>33.065641630000002</v>
      </c>
      <c r="J31" s="4">
        <v>56.795901350000001</v>
      </c>
      <c r="K31" s="5">
        <v>27.055528150000001</v>
      </c>
      <c r="L31" s="3">
        <v>5</v>
      </c>
      <c r="M31" s="2" t="s">
        <v>764</v>
      </c>
      <c r="N31" s="2" t="s">
        <v>18</v>
      </c>
      <c r="O31" s="4">
        <v>12.311817203905125</v>
      </c>
      <c r="P31" s="2" t="str">
        <f t="shared" si="0"/>
        <v>Superior</v>
      </c>
    </row>
    <row r="32" spans="1:16" ht="20.100000000000001" customHeight="1" x14ac:dyDescent="0.3">
      <c r="A32" s="2" t="s">
        <v>588</v>
      </c>
      <c r="B32" s="2" t="s">
        <v>22</v>
      </c>
      <c r="C32" s="3">
        <v>85</v>
      </c>
      <c r="D32" s="2" t="s">
        <v>760</v>
      </c>
      <c r="E32" s="4">
        <v>64.229619639999996</v>
      </c>
      <c r="F32" s="4">
        <v>2.1295842669999998</v>
      </c>
      <c r="G32" s="4">
        <v>18.162629030000002</v>
      </c>
      <c r="H32" s="2" t="s">
        <v>28</v>
      </c>
      <c r="I32" s="4">
        <v>83.322982449999998</v>
      </c>
      <c r="J32" s="4">
        <v>83.795536589999998</v>
      </c>
      <c r="K32" s="5">
        <v>14.38609316</v>
      </c>
      <c r="L32" s="3">
        <v>2</v>
      </c>
      <c r="M32" s="2" t="s">
        <v>763</v>
      </c>
      <c r="N32" s="2" t="s">
        <v>21</v>
      </c>
      <c r="O32" s="4">
        <v>0.25799176770781196</v>
      </c>
      <c r="P32" s="2" t="str">
        <f t="shared" si="0"/>
        <v>Low</v>
      </c>
    </row>
    <row r="33" spans="1:16" ht="20.100000000000001" customHeight="1" x14ac:dyDescent="0.3">
      <c r="A33" s="2" t="s">
        <v>589</v>
      </c>
      <c r="B33" s="2" t="s">
        <v>22</v>
      </c>
      <c r="C33" s="3">
        <v>100</v>
      </c>
      <c r="D33" s="2" t="s">
        <v>758</v>
      </c>
      <c r="E33" s="4">
        <v>58.940858570000003</v>
      </c>
      <c r="F33" s="4">
        <v>3.2053484929999998</v>
      </c>
      <c r="G33" s="4">
        <v>43.702212099999997</v>
      </c>
      <c r="H33" s="2" t="s">
        <v>28</v>
      </c>
      <c r="I33" s="4">
        <v>82.360331299999999</v>
      </c>
      <c r="J33" s="4">
        <v>92.035772940000001</v>
      </c>
      <c r="K33" s="5">
        <v>19.457576530000001</v>
      </c>
      <c r="L33" s="3">
        <v>6</v>
      </c>
      <c r="M33" s="2" t="s">
        <v>763</v>
      </c>
      <c r="N33" s="2" t="s">
        <v>21</v>
      </c>
      <c r="O33" s="4">
        <v>5.7027883730552897</v>
      </c>
      <c r="P33" s="2" t="str">
        <f t="shared" si="0"/>
        <v>Acceptable</v>
      </c>
    </row>
    <row r="34" spans="1:16" ht="20.100000000000001" customHeight="1" x14ac:dyDescent="0.3">
      <c r="A34" s="2" t="s">
        <v>590</v>
      </c>
      <c r="B34" s="2" t="s">
        <v>771</v>
      </c>
      <c r="C34" s="3">
        <v>75</v>
      </c>
      <c r="D34" s="2" t="s">
        <v>758</v>
      </c>
      <c r="E34" s="4">
        <v>69.596474959999995</v>
      </c>
      <c r="F34" s="4">
        <v>2.3390419960000002</v>
      </c>
      <c r="G34" s="4">
        <v>14.860688980000001</v>
      </c>
      <c r="H34" s="2" t="s">
        <v>24</v>
      </c>
      <c r="I34" s="4">
        <v>60.638917620000001</v>
      </c>
      <c r="J34" s="4">
        <v>73.009252959999998</v>
      </c>
      <c r="K34" s="5">
        <v>73.169587969999995</v>
      </c>
      <c r="L34" s="3">
        <v>6</v>
      </c>
      <c r="M34" s="2" t="s">
        <v>764</v>
      </c>
      <c r="N34" s="2" t="s">
        <v>21</v>
      </c>
      <c r="O34" s="4">
        <v>6.4569880030283455</v>
      </c>
      <c r="P34" s="2" t="str">
        <f t="shared" si="0"/>
        <v>Acceptable</v>
      </c>
    </row>
    <row r="35" spans="1:16" ht="20.100000000000001" customHeight="1" x14ac:dyDescent="0.3">
      <c r="A35" s="2" t="s">
        <v>591</v>
      </c>
      <c r="B35" s="2" t="s">
        <v>771</v>
      </c>
      <c r="C35" s="3">
        <v>75</v>
      </c>
      <c r="D35" s="2" t="s">
        <v>761</v>
      </c>
      <c r="E35" s="4">
        <v>14.49216024</v>
      </c>
      <c r="F35" s="4">
        <v>3.8892592349999999</v>
      </c>
      <c r="G35" s="4">
        <v>41.377910759999999</v>
      </c>
      <c r="H35" s="2" t="s">
        <v>17</v>
      </c>
      <c r="I35" s="4">
        <v>42.78718946</v>
      </c>
      <c r="J35" s="4">
        <v>51.761745470000001</v>
      </c>
      <c r="K35" s="5">
        <v>25.002273729999999</v>
      </c>
      <c r="L35" s="3">
        <v>3</v>
      </c>
      <c r="M35" s="2" t="s">
        <v>762</v>
      </c>
      <c r="N35" s="2" t="s">
        <v>18</v>
      </c>
      <c r="O35" s="4">
        <v>0.97545527834831292</v>
      </c>
      <c r="P35" s="2" t="str">
        <f t="shared" si="0"/>
        <v>Low</v>
      </c>
    </row>
    <row r="36" spans="1:16" ht="20.100000000000001" customHeight="1" x14ac:dyDescent="0.3">
      <c r="A36" s="2" t="s">
        <v>592</v>
      </c>
      <c r="B36" s="2" t="s">
        <v>770</v>
      </c>
      <c r="C36" s="3">
        <v>100</v>
      </c>
      <c r="D36" s="2" t="s">
        <v>758</v>
      </c>
      <c r="E36" s="4">
        <v>8.2345841160000006</v>
      </c>
      <c r="F36" s="4">
        <v>0.90499337999999996</v>
      </c>
      <c r="G36" s="4">
        <v>43.812872560000002</v>
      </c>
      <c r="H36" s="2" t="s">
        <v>17</v>
      </c>
      <c r="I36" s="4">
        <v>23.358908240000002</v>
      </c>
      <c r="J36" s="4">
        <v>97.661584820000002</v>
      </c>
      <c r="K36" s="5">
        <v>38.568960760000003</v>
      </c>
      <c r="L36" s="3">
        <v>3</v>
      </c>
      <c r="M36" s="2" t="s">
        <v>763</v>
      </c>
      <c r="N36" s="2" t="s">
        <v>15</v>
      </c>
      <c r="O36" s="4">
        <v>6.118516403419533</v>
      </c>
      <c r="P36" s="2" t="str">
        <f t="shared" si="0"/>
        <v>Acceptable</v>
      </c>
    </row>
    <row r="37" spans="1:16" ht="20.100000000000001" customHeight="1" x14ac:dyDescent="0.3">
      <c r="A37" s="2" t="s">
        <v>593</v>
      </c>
      <c r="B37" s="2" t="s">
        <v>768</v>
      </c>
      <c r="C37" s="3">
        <v>75</v>
      </c>
      <c r="D37" s="2" t="s">
        <v>760</v>
      </c>
      <c r="E37" s="4">
        <v>34.86162084</v>
      </c>
      <c r="F37" s="4">
        <v>3.4701972959999998</v>
      </c>
      <c r="G37" s="4">
        <v>4.9406143269999996</v>
      </c>
      <c r="H37" s="2" t="s">
        <v>14</v>
      </c>
      <c r="I37" s="4">
        <v>47.9790092</v>
      </c>
      <c r="J37" s="4">
        <v>69.996543149999994</v>
      </c>
      <c r="K37" s="5">
        <v>35.401599279999999</v>
      </c>
      <c r="L37" s="3">
        <v>3</v>
      </c>
      <c r="M37" s="2" t="s">
        <v>764</v>
      </c>
      <c r="N37" s="2" t="s">
        <v>15</v>
      </c>
      <c r="O37" s="4">
        <v>5.7567519029754548</v>
      </c>
      <c r="P37" s="2" t="str">
        <f t="shared" si="0"/>
        <v>Acceptable</v>
      </c>
    </row>
    <row r="38" spans="1:16" ht="20.100000000000001" customHeight="1" x14ac:dyDescent="0.3">
      <c r="A38" s="2" t="s">
        <v>594</v>
      </c>
      <c r="B38" s="2" t="s">
        <v>770</v>
      </c>
      <c r="C38" s="3">
        <v>50</v>
      </c>
      <c r="D38" s="2" t="s">
        <v>759</v>
      </c>
      <c r="E38" s="4">
        <v>9.9807815279999996</v>
      </c>
      <c r="F38" s="4">
        <v>1.8536958219999999</v>
      </c>
      <c r="G38" s="4">
        <v>33.333004330000001</v>
      </c>
      <c r="H38" s="2" t="s">
        <v>28</v>
      </c>
      <c r="I38" s="4">
        <v>35.851595549999999</v>
      </c>
      <c r="J38" s="4">
        <v>67.584110989999999</v>
      </c>
      <c r="K38" s="5">
        <v>37.805048130000003</v>
      </c>
      <c r="L38" s="3">
        <v>5</v>
      </c>
      <c r="M38" s="2" t="s">
        <v>762</v>
      </c>
      <c r="N38" s="2" t="s">
        <v>18</v>
      </c>
      <c r="O38" s="4">
        <v>1.5835765197026337</v>
      </c>
      <c r="P38" s="2" t="str">
        <f t="shared" si="0"/>
        <v>Low</v>
      </c>
    </row>
    <row r="39" spans="1:16" ht="20.100000000000001" customHeight="1" x14ac:dyDescent="0.3">
      <c r="A39" s="2" t="s">
        <v>595</v>
      </c>
      <c r="B39" s="2" t="s">
        <v>771</v>
      </c>
      <c r="C39" s="3">
        <v>75</v>
      </c>
      <c r="D39" s="2" t="s">
        <v>760</v>
      </c>
      <c r="E39" s="4">
        <v>42.094233350000003</v>
      </c>
      <c r="F39" s="4">
        <v>1.0017255389999999</v>
      </c>
      <c r="G39" s="4">
        <v>6.3100264880000001</v>
      </c>
      <c r="H39" s="2" t="s">
        <v>17</v>
      </c>
      <c r="I39" s="4">
        <v>51.67969008</v>
      </c>
      <c r="J39" s="4">
        <v>95.811129600000001</v>
      </c>
      <c r="K39" s="5">
        <v>30.722257110000001</v>
      </c>
      <c r="L39" s="3">
        <v>0</v>
      </c>
      <c r="M39" s="2" t="s">
        <v>764</v>
      </c>
      <c r="N39" s="2" t="s">
        <v>15</v>
      </c>
      <c r="O39" s="4">
        <v>13.932593349197189</v>
      </c>
      <c r="P39" s="2" t="str">
        <f t="shared" si="0"/>
        <v>Superior</v>
      </c>
    </row>
    <row r="40" spans="1:16" ht="20.100000000000001" customHeight="1" x14ac:dyDescent="0.3">
      <c r="A40" s="2" t="s">
        <v>596</v>
      </c>
      <c r="B40" s="2" t="s">
        <v>768</v>
      </c>
      <c r="C40" s="3">
        <v>75</v>
      </c>
      <c r="D40" s="2" t="s">
        <v>761</v>
      </c>
      <c r="E40" s="4">
        <v>53.713287010000002</v>
      </c>
      <c r="F40" s="4">
        <v>0.89146080299999997</v>
      </c>
      <c r="G40" s="4">
        <v>18.622976470000001</v>
      </c>
      <c r="H40" s="2" t="s">
        <v>24</v>
      </c>
      <c r="I40" s="4">
        <v>49.923144290000003</v>
      </c>
      <c r="J40" s="4">
        <v>56.181482629999998</v>
      </c>
      <c r="K40" s="5">
        <v>23.7636599</v>
      </c>
      <c r="L40" s="3">
        <v>4</v>
      </c>
      <c r="M40" s="2" t="s">
        <v>763</v>
      </c>
      <c r="N40" s="2" t="s">
        <v>15</v>
      </c>
      <c r="O40" s="4">
        <v>2.5211694259658</v>
      </c>
      <c r="P40" s="2" t="str">
        <f t="shared" si="0"/>
        <v>Low</v>
      </c>
    </row>
    <row r="41" spans="1:16" ht="20.100000000000001" customHeight="1" x14ac:dyDescent="0.3">
      <c r="A41" s="2" t="s">
        <v>597</v>
      </c>
      <c r="B41" s="2" t="s">
        <v>22</v>
      </c>
      <c r="C41" s="3">
        <v>55.81669376</v>
      </c>
      <c r="D41" s="2" t="s">
        <v>761</v>
      </c>
      <c r="E41" s="4">
        <v>66.405507569999997</v>
      </c>
      <c r="F41" s="4">
        <v>3.02669269</v>
      </c>
      <c r="G41" s="4">
        <v>39.85618959</v>
      </c>
      <c r="H41" s="2" t="s">
        <v>14</v>
      </c>
      <c r="I41" s="4">
        <v>15.55736235</v>
      </c>
      <c r="J41" s="4">
        <v>78.849996279999999</v>
      </c>
      <c r="K41" s="5">
        <v>33.785216509999998</v>
      </c>
      <c r="L41" s="3">
        <v>0</v>
      </c>
      <c r="M41" s="2" t="s">
        <v>763</v>
      </c>
      <c r="N41" s="2" t="s">
        <v>18</v>
      </c>
      <c r="O41" s="4">
        <v>23.459641860201319</v>
      </c>
      <c r="P41" s="2" t="str">
        <f t="shared" si="0"/>
        <v>Outstanding</v>
      </c>
    </row>
    <row r="42" spans="1:16" ht="20.100000000000001" customHeight="1" x14ac:dyDescent="0.3">
      <c r="A42" s="2" t="s">
        <v>75</v>
      </c>
      <c r="B42" s="2" t="s">
        <v>769</v>
      </c>
      <c r="C42" s="3">
        <v>62</v>
      </c>
      <c r="D42" s="2" t="s">
        <v>761</v>
      </c>
      <c r="E42" s="4">
        <v>41.264155049999999</v>
      </c>
      <c r="F42" s="4">
        <v>3.6044547429999998</v>
      </c>
      <c r="G42" s="4">
        <v>29.081690930000001</v>
      </c>
      <c r="H42" s="2" t="s">
        <v>28</v>
      </c>
      <c r="I42" s="4">
        <v>64.419366760000003</v>
      </c>
      <c r="J42" s="4">
        <v>73.237189209999997</v>
      </c>
      <c r="K42" s="5">
        <v>19.636531569999999</v>
      </c>
      <c r="L42" s="3">
        <v>6</v>
      </c>
      <c r="M42" s="2" t="s">
        <v>764</v>
      </c>
      <c r="N42" s="2" t="s">
        <v>21</v>
      </c>
      <c r="O42" s="4">
        <v>2.2559319552370578</v>
      </c>
      <c r="P42" s="2" t="str">
        <f t="shared" si="0"/>
        <v>Low</v>
      </c>
    </row>
    <row r="43" spans="1:16" ht="20.100000000000001" customHeight="1" x14ac:dyDescent="0.3">
      <c r="A43" s="2" t="s">
        <v>598</v>
      </c>
      <c r="B43" s="2" t="s">
        <v>770</v>
      </c>
      <c r="C43" s="3">
        <v>100</v>
      </c>
      <c r="D43" s="2" t="s">
        <v>759</v>
      </c>
      <c r="E43" s="4">
        <v>75.570964500000002</v>
      </c>
      <c r="F43" s="4">
        <v>2.5744522320000001</v>
      </c>
      <c r="G43" s="4">
        <v>21.512464919999999</v>
      </c>
      <c r="H43" s="2" t="s">
        <v>24</v>
      </c>
      <c r="I43" s="4">
        <v>32.747608159999999</v>
      </c>
      <c r="J43" s="4">
        <v>57.682290250000001</v>
      </c>
      <c r="K43" s="5">
        <v>13.41284737</v>
      </c>
      <c r="L43" s="3">
        <v>4</v>
      </c>
      <c r="M43" s="2" t="s">
        <v>763</v>
      </c>
      <c r="N43" s="2" t="s">
        <v>15</v>
      </c>
      <c r="O43" s="4">
        <v>18.843379750421761</v>
      </c>
      <c r="P43" s="2" t="str">
        <f t="shared" si="0"/>
        <v>Superior</v>
      </c>
    </row>
    <row r="44" spans="1:16" ht="20.100000000000001" customHeight="1" x14ac:dyDescent="0.3">
      <c r="A44" s="2" t="s">
        <v>599</v>
      </c>
      <c r="B44" s="2" t="s">
        <v>768</v>
      </c>
      <c r="C44" s="3">
        <v>62</v>
      </c>
      <c r="D44" s="2" t="s">
        <v>760</v>
      </c>
      <c r="E44" s="4">
        <v>28.253031400000001</v>
      </c>
      <c r="F44" s="4">
        <v>0.90863538499999996</v>
      </c>
      <c r="G44" s="4">
        <v>30.00242931</v>
      </c>
      <c r="H44" s="2" t="s">
        <v>14</v>
      </c>
      <c r="I44" s="4">
        <v>77.2337354</v>
      </c>
      <c r="J44" s="4">
        <v>82.609539260000005</v>
      </c>
      <c r="K44" s="5">
        <v>1.940753851</v>
      </c>
      <c r="L44" s="3">
        <v>4.0230796489999996</v>
      </c>
      <c r="M44" s="2" t="s">
        <v>763</v>
      </c>
      <c r="N44" s="2" t="s">
        <v>15</v>
      </c>
      <c r="O44" s="4">
        <v>0.94167308259229243</v>
      </c>
      <c r="P44" s="2" t="str">
        <f t="shared" si="0"/>
        <v>Low</v>
      </c>
    </row>
    <row r="45" spans="1:16" ht="20.100000000000001" customHeight="1" x14ac:dyDescent="0.3">
      <c r="A45" s="2" t="s">
        <v>600</v>
      </c>
      <c r="B45" s="2" t="s">
        <v>770</v>
      </c>
      <c r="C45" s="3">
        <v>100</v>
      </c>
      <c r="D45" s="2" t="s">
        <v>760</v>
      </c>
      <c r="E45" s="4">
        <v>39.488831070000003</v>
      </c>
      <c r="F45" s="4">
        <v>0.85845851200000001</v>
      </c>
      <c r="G45" s="4">
        <v>16.371516069999998</v>
      </c>
      <c r="H45" s="2" t="s">
        <v>17</v>
      </c>
      <c r="I45" s="4">
        <v>26.68552227</v>
      </c>
      <c r="J45" s="4">
        <v>90.024677330000003</v>
      </c>
      <c r="K45" s="5">
        <v>35.749154760000003</v>
      </c>
      <c r="L45" s="3">
        <v>7</v>
      </c>
      <c r="M45" s="2" t="s">
        <v>763</v>
      </c>
      <c r="N45" s="2" t="s">
        <v>15</v>
      </c>
      <c r="O45" s="4">
        <v>25.011891942808759</v>
      </c>
      <c r="P45" s="2" t="str">
        <f t="shared" si="0"/>
        <v>Outstanding</v>
      </c>
    </row>
    <row r="46" spans="1:16" ht="20.100000000000001" customHeight="1" x14ac:dyDescent="0.3">
      <c r="A46" s="2" t="s">
        <v>601</v>
      </c>
      <c r="B46" s="2" t="s">
        <v>768</v>
      </c>
      <c r="C46" s="3">
        <v>62</v>
      </c>
      <c r="D46" s="2" t="s">
        <v>761</v>
      </c>
      <c r="E46" s="4">
        <v>69.210961269999999</v>
      </c>
      <c r="F46" s="4">
        <v>2.286994124</v>
      </c>
      <c r="G46" s="4">
        <v>28.756620250000001</v>
      </c>
      <c r="H46" s="2" t="s">
        <v>28</v>
      </c>
      <c r="I46" s="4">
        <v>27.766055999999999</v>
      </c>
      <c r="J46" s="4">
        <v>55.463224279999999</v>
      </c>
      <c r="K46" s="5">
        <v>11.888933959999999</v>
      </c>
      <c r="L46" s="3">
        <v>5</v>
      </c>
      <c r="M46" s="2" t="s">
        <v>762</v>
      </c>
      <c r="N46" s="2" t="s">
        <v>18</v>
      </c>
      <c r="O46" s="4">
        <v>11.885075374917667</v>
      </c>
      <c r="P46" s="2" t="str">
        <f t="shared" si="0"/>
        <v>Superior</v>
      </c>
    </row>
    <row r="47" spans="1:16" ht="20.100000000000001" customHeight="1" x14ac:dyDescent="0.3">
      <c r="A47" s="2" t="s">
        <v>602</v>
      </c>
      <c r="B47" s="2" t="s">
        <v>768</v>
      </c>
      <c r="C47" s="3">
        <v>45.815987200000002</v>
      </c>
      <c r="D47" s="2" t="s">
        <v>757</v>
      </c>
      <c r="E47" s="4">
        <v>34.602204589999999</v>
      </c>
      <c r="F47" s="4">
        <v>2.5188389029999998</v>
      </c>
      <c r="G47" s="4">
        <v>5.5797504550000001</v>
      </c>
      <c r="H47" s="2" t="s">
        <v>14</v>
      </c>
      <c r="I47" s="4">
        <v>21.24479174</v>
      </c>
      <c r="J47" s="4">
        <v>73.436280229999994</v>
      </c>
      <c r="K47" s="5">
        <v>5.0972289179999999</v>
      </c>
      <c r="L47" s="3">
        <v>6</v>
      </c>
      <c r="M47" s="2" t="s">
        <v>762</v>
      </c>
      <c r="N47" s="2" t="s">
        <v>21</v>
      </c>
      <c r="O47" s="4">
        <v>8.2740949699474733</v>
      </c>
      <c r="P47" s="2" t="str">
        <f t="shared" si="0"/>
        <v>Acceptable</v>
      </c>
    </row>
    <row r="48" spans="1:16" ht="20.100000000000001" customHeight="1" x14ac:dyDescent="0.3">
      <c r="A48" s="2" t="s">
        <v>603</v>
      </c>
      <c r="B48" s="2" t="s">
        <v>770</v>
      </c>
      <c r="C48" s="3">
        <v>62</v>
      </c>
      <c r="D48" s="2" t="s">
        <v>759</v>
      </c>
      <c r="E48" s="4">
        <v>21.871253289999999</v>
      </c>
      <c r="F48" s="4">
        <v>0.57200012600000005</v>
      </c>
      <c r="G48" s="4">
        <v>10.602056340000001</v>
      </c>
      <c r="H48" s="2" t="s">
        <v>14</v>
      </c>
      <c r="I48" s="4">
        <v>44.919466159999999</v>
      </c>
      <c r="J48" s="4">
        <v>53.746604290000001</v>
      </c>
      <c r="K48" s="5">
        <v>33.40477344</v>
      </c>
      <c r="L48" s="3">
        <v>1</v>
      </c>
      <c r="M48" s="2" t="s">
        <v>762</v>
      </c>
      <c r="N48" s="2" t="s">
        <v>15</v>
      </c>
      <c r="O48" s="4">
        <v>1.1969755579756913</v>
      </c>
      <c r="P48" s="2" t="str">
        <f t="shared" si="0"/>
        <v>Low</v>
      </c>
    </row>
    <row r="49" spans="1:16" ht="20.100000000000001" customHeight="1" x14ac:dyDescent="0.3">
      <c r="A49" s="2" t="s">
        <v>604</v>
      </c>
      <c r="B49" s="2" t="s">
        <v>770</v>
      </c>
      <c r="C49" s="3">
        <v>75</v>
      </c>
      <c r="D49" s="2" t="s">
        <v>760</v>
      </c>
      <c r="E49" s="4">
        <v>47.232070839999999</v>
      </c>
      <c r="F49" s="4">
        <v>3.6437739339999999</v>
      </c>
      <c r="G49" s="4">
        <v>42.960307190000002</v>
      </c>
      <c r="H49" s="2" t="s">
        <v>24</v>
      </c>
      <c r="I49" s="4">
        <v>12.43408226</v>
      </c>
      <c r="J49" s="4">
        <v>68.060830940000002</v>
      </c>
      <c r="K49" s="5">
        <v>10.73912307</v>
      </c>
      <c r="L49" s="3">
        <v>2</v>
      </c>
      <c r="M49" s="2" t="s">
        <v>762</v>
      </c>
      <c r="N49" s="2" t="s">
        <v>18</v>
      </c>
      <c r="O49" s="4">
        <v>19.705249006894775</v>
      </c>
      <c r="P49" s="2" t="str">
        <f t="shared" si="0"/>
        <v>Superior</v>
      </c>
    </row>
    <row r="50" spans="1:16" ht="20.100000000000001" customHeight="1" x14ac:dyDescent="0.3">
      <c r="A50" s="2" t="s">
        <v>605</v>
      </c>
      <c r="B50" s="2" t="s">
        <v>770</v>
      </c>
      <c r="C50" s="3">
        <v>100</v>
      </c>
      <c r="D50" s="2" t="s">
        <v>757</v>
      </c>
      <c r="E50" s="4">
        <v>54.964472020000002</v>
      </c>
      <c r="F50" s="4">
        <v>3.5229376069999998</v>
      </c>
      <c r="G50" s="4">
        <v>41.407045570000001</v>
      </c>
      <c r="H50" s="2" t="s">
        <v>17</v>
      </c>
      <c r="I50" s="4">
        <v>19.82642791</v>
      </c>
      <c r="J50" s="4">
        <v>92.776520250000004</v>
      </c>
      <c r="K50" s="5">
        <v>39.53379889</v>
      </c>
      <c r="L50" s="3">
        <v>3</v>
      </c>
      <c r="M50" s="2" t="s">
        <v>763</v>
      </c>
      <c r="N50" s="2" t="s">
        <v>21</v>
      </c>
      <c r="O50" s="4">
        <v>40.096633092783463</v>
      </c>
      <c r="P50" s="2" t="str">
        <f t="shared" si="0"/>
        <v>Outstanding</v>
      </c>
    </row>
    <row r="51" spans="1:16" ht="20.100000000000001" customHeight="1" x14ac:dyDescent="0.3">
      <c r="A51" s="2" t="s">
        <v>606</v>
      </c>
      <c r="B51" s="2" t="s">
        <v>769</v>
      </c>
      <c r="C51" s="3">
        <v>50</v>
      </c>
      <c r="D51" s="2" t="s">
        <v>761</v>
      </c>
      <c r="E51" s="4">
        <v>74.785819399999994</v>
      </c>
      <c r="F51" s="4">
        <v>1.6785135179999999</v>
      </c>
      <c r="G51" s="4">
        <v>36.55346728</v>
      </c>
      <c r="H51" s="2" t="s">
        <v>24</v>
      </c>
      <c r="I51" s="4">
        <v>37.367123300000003</v>
      </c>
      <c r="J51" s="4">
        <v>98.555456149999998</v>
      </c>
      <c r="K51" s="5">
        <v>21.379288320000001</v>
      </c>
      <c r="L51" s="3">
        <v>7</v>
      </c>
      <c r="M51" s="2" t="s">
        <v>764</v>
      </c>
      <c r="N51" s="2" t="s">
        <v>15</v>
      </c>
      <c r="O51" s="4">
        <v>22.880098049535931</v>
      </c>
      <c r="P51" s="2" t="str">
        <f t="shared" si="0"/>
        <v>Outstanding</v>
      </c>
    </row>
    <row r="52" spans="1:16" ht="20.100000000000001" customHeight="1" x14ac:dyDescent="0.3">
      <c r="A52" s="2" t="s">
        <v>607</v>
      </c>
      <c r="B52" s="2" t="s">
        <v>769</v>
      </c>
      <c r="C52" s="3">
        <v>75</v>
      </c>
      <c r="D52" s="2" t="s">
        <v>757</v>
      </c>
      <c r="E52" s="4">
        <v>34.79054782</v>
      </c>
      <c r="F52" s="4">
        <v>1.813883272</v>
      </c>
      <c r="G52" s="4">
        <v>23.215257789999999</v>
      </c>
      <c r="H52" s="2" t="s">
        <v>28</v>
      </c>
      <c r="I52" s="4">
        <v>42.670374449999997</v>
      </c>
      <c r="J52" s="4">
        <v>75.696092649999997</v>
      </c>
      <c r="K52" s="5">
        <v>17.24178715</v>
      </c>
      <c r="L52" s="3">
        <v>5</v>
      </c>
      <c r="M52" s="2" t="s">
        <v>763</v>
      </c>
      <c r="N52" s="2" t="s">
        <v>15</v>
      </c>
      <c r="O52" s="4">
        <v>8.6173712124520829</v>
      </c>
      <c r="P52" s="2" t="str">
        <f t="shared" si="0"/>
        <v>Acceptable</v>
      </c>
    </row>
    <row r="53" spans="1:16" ht="20.100000000000001" customHeight="1" x14ac:dyDescent="0.3">
      <c r="A53" s="2" t="s">
        <v>608</v>
      </c>
      <c r="B53" s="2" t="s">
        <v>771</v>
      </c>
      <c r="C53" s="3">
        <v>75</v>
      </c>
      <c r="D53" s="2" t="s">
        <v>757</v>
      </c>
      <c r="E53" s="4">
        <v>69.133090249999995</v>
      </c>
      <c r="F53" s="4">
        <v>3.0076728840000002</v>
      </c>
      <c r="G53" s="4">
        <v>10.70555783</v>
      </c>
      <c r="H53" s="2" t="s">
        <v>17</v>
      </c>
      <c r="I53" s="4">
        <v>28.903016640000001</v>
      </c>
      <c r="J53" s="4">
        <v>78.348622199999994</v>
      </c>
      <c r="K53" s="5">
        <v>3.4429041709999999</v>
      </c>
      <c r="L53" s="3">
        <v>2</v>
      </c>
      <c r="M53" s="2" t="s">
        <v>763</v>
      </c>
      <c r="N53" s="2" t="s">
        <v>18</v>
      </c>
      <c r="O53" s="4">
        <v>25.637456337340353</v>
      </c>
      <c r="P53" s="2" t="str">
        <f t="shared" si="0"/>
        <v>Outstanding</v>
      </c>
    </row>
    <row r="54" spans="1:16" ht="20.100000000000001" customHeight="1" x14ac:dyDescent="0.3">
      <c r="A54" s="2" t="s">
        <v>76</v>
      </c>
      <c r="B54" s="2" t="s">
        <v>768</v>
      </c>
      <c r="C54" s="3">
        <v>147.39535430000001</v>
      </c>
      <c r="D54" s="2" t="s">
        <v>761</v>
      </c>
      <c r="E54" s="4">
        <v>65.893183620000002</v>
      </c>
      <c r="F54" s="4">
        <v>3.146250636</v>
      </c>
      <c r="G54" s="4">
        <v>24.83213224</v>
      </c>
      <c r="H54" s="2" t="s">
        <v>14</v>
      </c>
      <c r="I54" s="4">
        <v>27.381195980000001</v>
      </c>
      <c r="J54" s="4">
        <v>64.701493529999993</v>
      </c>
      <c r="K54" s="5">
        <v>13.419629560000001</v>
      </c>
      <c r="L54" s="3">
        <v>6</v>
      </c>
      <c r="M54" s="2" t="s">
        <v>762</v>
      </c>
      <c r="N54" s="2" t="s">
        <v>21</v>
      </c>
      <c r="O54" s="4">
        <v>36.246776002420788</v>
      </c>
      <c r="P54" s="2" t="str">
        <f t="shared" si="0"/>
        <v>Outstanding</v>
      </c>
    </row>
    <row r="55" spans="1:16" ht="20.100000000000001" customHeight="1" x14ac:dyDescent="0.3">
      <c r="A55" s="2" t="s">
        <v>609</v>
      </c>
      <c r="B55" s="2" t="s">
        <v>770</v>
      </c>
      <c r="C55" s="3">
        <v>50</v>
      </c>
      <c r="D55" s="2" t="s">
        <v>761</v>
      </c>
      <c r="E55" s="4">
        <v>27.752745919999999</v>
      </c>
      <c r="F55" s="4">
        <v>0.903865802</v>
      </c>
      <c r="G55" s="4">
        <v>31.65589628</v>
      </c>
      <c r="H55" s="2" t="s">
        <v>24</v>
      </c>
      <c r="I55" s="4">
        <v>24.84363201</v>
      </c>
      <c r="J55" s="4">
        <v>87.937331080000007</v>
      </c>
      <c r="K55" s="5">
        <v>34.022880069999999</v>
      </c>
      <c r="L55" s="3">
        <v>1</v>
      </c>
      <c r="M55" s="2" t="s">
        <v>763</v>
      </c>
      <c r="N55" s="2" t="s">
        <v>18</v>
      </c>
      <c r="O55" s="4">
        <v>8.7551169972132517</v>
      </c>
      <c r="P55" s="2" t="str">
        <f t="shared" si="0"/>
        <v>Acceptable</v>
      </c>
    </row>
    <row r="56" spans="1:16" ht="20.100000000000001" customHeight="1" x14ac:dyDescent="0.3">
      <c r="A56" s="2" t="s">
        <v>610</v>
      </c>
      <c r="B56" s="2" t="s">
        <v>770</v>
      </c>
      <c r="C56" s="3">
        <v>50</v>
      </c>
      <c r="D56" s="2" t="s">
        <v>757</v>
      </c>
      <c r="E56" s="4">
        <v>36.465473340000003</v>
      </c>
      <c r="F56" s="4">
        <v>1.2091658670000001</v>
      </c>
      <c r="G56" s="4">
        <v>37.860284989999997</v>
      </c>
      <c r="H56" s="2" t="s">
        <v>17</v>
      </c>
      <c r="I56" s="4">
        <v>21.023469970000001</v>
      </c>
      <c r="J56" s="4">
        <v>82.179413819999994</v>
      </c>
      <c r="K56" s="5">
        <v>36.151829849999999</v>
      </c>
      <c r="L56" s="3">
        <v>1</v>
      </c>
      <c r="M56" s="2" t="s">
        <v>762</v>
      </c>
      <c r="N56" s="2" t="s">
        <v>15</v>
      </c>
      <c r="O56" s="4">
        <v>11.15040220022356</v>
      </c>
      <c r="P56" s="2" t="str">
        <f t="shared" si="0"/>
        <v>Superior</v>
      </c>
    </row>
    <row r="57" spans="1:16" ht="20.100000000000001" customHeight="1" x14ac:dyDescent="0.3">
      <c r="A57" s="2" t="s">
        <v>611</v>
      </c>
      <c r="B57" s="2" t="s">
        <v>771</v>
      </c>
      <c r="C57" s="3">
        <v>50</v>
      </c>
      <c r="D57" s="2" t="s">
        <v>759</v>
      </c>
      <c r="E57" s="4">
        <v>40.271635750000002</v>
      </c>
      <c r="F57" s="4">
        <v>2.692912126</v>
      </c>
      <c r="G57" s="4">
        <v>49.566380580000001</v>
      </c>
      <c r="H57" s="2" t="s">
        <v>24</v>
      </c>
      <c r="I57" s="4">
        <v>21.826703569999999</v>
      </c>
      <c r="J57" s="4">
        <v>67.998202309999996</v>
      </c>
      <c r="K57" s="5">
        <v>33.791342370000002</v>
      </c>
      <c r="L57" s="3">
        <v>2</v>
      </c>
      <c r="M57" s="2" t="s">
        <v>764</v>
      </c>
      <c r="N57" s="2" t="s">
        <v>18</v>
      </c>
      <c r="O57" s="4">
        <v>9.2970088964443196</v>
      </c>
      <c r="P57" s="2" t="str">
        <f t="shared" si="0"/>
        <v>Acceptable</v>
      </c>
    </row>
    <row r="58" spans="1:16" ht="20.100000000000001" customHeight="1" x14ac:dyDescent="0.3">
      <c r="A58" s="2" t="s">
        <v>77</v>
      </c>
      <c r="B58" s="2" t="s">
        <v>771</v>
      </c>
      <c r="C58" s="3">
        <v>50</v>
      </c>
      <c r="D58" s="2" t="s">
        <v>761</v>
      </c>
      <c r="E58" s="4">
        <v>13.26290902</v>
      </c>
      <c r="F58" s="4">
        <v>3.069015227</v>
      </c>
      <c r="G58" s="4">
        <v>47.670470639999998</v>
      </c>
      <c r="H58" s="2" t="s">
        <v>24</v>
      </c>
      <c r="I58" s="4">
        <v>24.998949639999999</v>
      </c>
      <c r="J58" s="4">
        <v>90.020001059999998</v>
      </c>
      <c r="K58" s="5">
        <v>31.87333447</v>
      </c>
      <c r="L58" s="3">
        <v>3</v>
      </c>
      <c r="M58" s="2" t="s">
        <v>764</v>
      </c>
      <c r="N58" s="2" t="s">
        <v>15</v>
      </c>
      <c r="O58" s="4">
        <v>4.3118414468410089</v>
      </c>
      <c r="P58" s="2" t="str">
        <f t="shared" si="0"/>
        <v>Acceptable</v>
      </c>
    </row>
    <row r="59" spans="1:16" ht="20.100000000000001" customHeight="1" x14ac:dyDescent="0.3">
      <c r="A59" s="2" t="s">
        <v>612</v>
      </c>
      <c r="B59" s="2" t="s">
        <v>22</v>
      </c>
      <c r="C59" s="3">
        <v>62</v>
      </c>
      <c r="D59" s="2" t="s">
        <v>758</v>
      </c>
      <c r="E59" s="4">
        <v>36.701520160000001</v>
      </c>
      <c r="F59" s="4">
        <v>1.8724897380000001</v>
      </c>
      <c r="G59" s="4">
        <v>19.121932640000001</v>
      </c>
      <c r="H59" s="2" t="s">
        <v>14</v>
      </c>
      <c r="I59" s="4">
        <v>26.348198440000001</v>
      </c>
      <c r="J59" s="4">
        <v>95.162887069999996</v>
      </c>
      <c r="K59" s="5">
        <v>30.285847539999999</v>
      </c>
      <c r="L59" s="3">
        <v>6.454001345</v>
      </c>
      <c r="M59" s="2" t="s">
        <v>762</v>
      </c>
      <c r="N59" s="2" t="s">
        <v>18</v>
      </c>
      <c r="O59" s="4">
        <v>15.658742828760017</v>
      </c>
      <c r="P59" s="2" t="str">
        <f t="shared" si="0"/>
        <v>Superior</v>
      </c>
    </row>
    <row r="60" spans="1:16" ht="20.100000000000001" customHeight="1" x14ac:dyDescent="0.3">
      <c r="A60" s="2" t="s">
        <v>613</v>
      </c>
      <c r="B60" s="2" t="s">
        <v>22</v>
      </c>
      <c r="C60" s="3">
        <v>100</v>
      </c>
      <c r="D60" s="2" t="s">
        <v>760</v>
      </c>
      <c r="E60" s="4">
        <v>24.230536860000001</v>
      </c>
      <c r="F60" s="4">
        <v>0.93401048099999995</v>
      </c>
      <c r="G60" s="4">
        <v>7.7573413179999999</v>
      </c>
      <c r="H60" s="2" t="s">
        <v>24</v>
      </c>
      <c r="I60" s="4">
        <v>17.695975499999999</v>
      </c>
      <c r="J60" s="4">
        <v>75.499591390000006</v>
      </c>
      <c r="K60" s="5">
        <v>4.97528595</v>
      </c>
      <c r="L60" s="3">
        <v>5</v>
      </c>
      <c r="M60" s="2" t="s">
        <v>762</v>
      </c>
      <c r="N60" s="2" t="s">
        <v>15</v>
      </c>
      <c r="O60" s="4">
        <v>14.006126454639269</v>
      </c>
      <c r="P60" s="2" t="str">
        <f t="shared" si="0"/>
        <v>Superior</v>
      </c>
    </row>
    <row r="61" spans="1:16" ht="20.100000000000001" customHeight="1" x14ac:dyDescent="0.3">
      <c r="A61" s="2" t="s">
        <v>614</v>
      </c>
      <c r="B61" s="2" t="s">
        <v>768</v>
      </c>
      <c r="C61" s="3">
        <v>85</v>
      </c>
      <c r="D61" s="2" t="s">
        <v>757</v>
      </c>
      <c r="E61" s="4">
        <v>21.706124330000002</v>
      </c>
      <c r="F61" s="4">
        <v>2.5051031039999998</v>
      </c>
      <c r="G61" s="4">
        <v>47.97954498</v>
      </c>
      <c r="H61" s="2" t="s">
        <v>14</v>
      </c>
      <c r="I61" s="4">
        <v>17.075691760000002</v>
      </c>
      <c r="J61" s="4">
        <v>94.511155669999994</v>
      </c>
      <c r="K61" s="5">
        <v>18.748822100000002</v>
      </c>
      <c r="L61" s="3">
        <v>5</v>
      </c>
      <c r="M61" s="2" t="s">
        <v>763</v>
      </c>
      <c r="N61" s="2" t="s">
        <v>18</v>
      </c>
      <c r="O61" s="4">
        <v>14.287002361044348</v>
      </c>
      <c r="P61" s="2" t="str">
        <f t="shared" si="0"/>
        <v>Superior</v>
      </c>
    </row>
    <row r="62" spans="1:16" ht="20.100000000000001" customHeight="1" x14ac:dyDescent="0.3">
      <c r="A62" s="2" t="s">
        <v>615</v>
      </c>
      <c r="B62" s="2" t="s">
        <v>770</v>
      </c>
      <c r="C62" s="3">
        <v>85</v>
      </c>
      <c r="D62" s="2" t="s">
        <v>760</v>
      </c>
      <c r="E62" s="4">
        <v>57.896271800000001</v>
      </c>
      <c r="F62" s="4">
        <v>1.7338146139999999</v>
      </c>
      <c r="G62" s="4">
        <v>10.411646340000001</v>
      </c>
      <c r="H62" s="2" t="s">
        <v>17</v>
      </c>
      <c r="I62" s="4">
        <v>53.19306375</v>
      </c>
      <c r="J62" s="4">
        <v>96.339542280000003</v>
      </c>
      <c r="K62" s="5">
        <v>23.906320050000001</v>
      </c>
      <c r="L62" s="3">
        <v>5</v>
      </c>
      <c r="M62" s="2" t="s">
        <v>763</v>
      </c>
      <c r="N62" s="2" t="s">
        <v>15</v>
      </c>
      <c r="O62" s="4">
        <v>21.233172109578828</v>
      </c>
      <c r="P62" s="2" t="str">
        <f t="shared" si="0"/>
        <v>Outstanding</v>
      </c>
    </row>
    <row r="63" spans="1:16" ht="20.100000000000001" customHeight="1" x14ac:dyDescent="0.3">
      <c r="A63" s="2" t="s">
        <v>27</v>
      </c>
      <c r="B63" s="2" t="s">
        <v>768</v>
      </c>
      <c r="C63" s="3">
        <v>50</v>
      </c>
      <c r="D63" s="2" t="s">
        <v>759</v>
      </c>
      <c r="E63" s="4">
        <v>18.20619748</v>
      </c>
      <c r="F63" s="4">
        <v>2.6486354479999998</v>
      </c>
      <c r="G63" s="4">
        <v>10.31070111</v>
      </c>
      <c r="H63" s="2" t="s">
        <v>28</v>
      </c>
      <c r="I63" s="4">
        <v>76.086565570000005</v>
      </c>
      <c r="J63" s="4">
        <v>82.26558163</v>
      </c>
      <c r="K63" s="5">
        <v>0.50043356400000005</v>
      </c>
      <c r="L63" s="3">
        <v>3</v>
      </c>
      <c r="M63" s="2" t="s">
        <v>764</v>
      </c>
      <c r="N63" s="2" t="s">
        <v>18</v>
      </c>
      <c r="O63" s="4">
        <v>0.56248193310225725</v>
      </c>
      <c r="P63" s="2" t="str">
        <f t="shared" si="0"/>
        <v>Low</v>
      </c>
    </row>
    <row r="64" spans="1:16" ht="20.100000000000001" customHeight="1" x14ac:dyDescent="0.3">
      <c r="A64" s="2" t="s">
        <v>616</v>
      </c>
      <c r="B64" s="2" t="s">
        <v>22</v>
      </c>
      <c r="C64" s="3">
        <v>75</v>
      </c>
      <c r="D64" s="2" t="s">
        <v>758</v>
      </c>
      <c r="E64" s="4">
        <v>15.729551170000001</v>
      </c>
      <c r="F64" s="4">
        <v>3.882674593</v>
      </c>
      <c r="G64" s="4">
        <v>38.315159010000002</v>
      </c>
      <c r="H64" s="2" t="s">
        <v>17</v>
      </c>
      <c r="I64" s="4">
        <v>10.87427192</v>
      </c>
      <c r="J64" s="4">
        <v>80.292238040000001</v>
      </c>
      <c r="K64" s="5">
        <v>10.75337783</v>
      </c>
      <c r="L64" s="3">
        <v>5</v>
      </c>
      <c r="M64" s="2" t="s">
        <v>763</v>
      </c>
      <c r="N64" s="2" t="s">
        <v>21</v>
      </c>
      <c r="O64" s="4">
        <v>8.1893508765139984</v>
      </c>
      <c r="P64" s="2" t="str">
        <f t="shared" si="0"/>
        <v>Acceptable</v>
      </c>
    </row>
    <row r="65" spans="1:16" ht="20.100000000000001" customHeight="1" x14ac:dyDescent="0.3">
      <c r="A65" s="2" t="s">
        <v>617</v>
      </c>
      <c r="B65" s="2" t="s">
        <v>771</v>
      </c>
      <c r="C65" s="3">
        <v>75</v>
      </c>
      <c r="D65" s="2" t="s">
        <v>757</v>
      </c>
      <c r="E65" s="4">
        <v>15.425510879999999</v>
      </c>
      <c r="F65" s="4">
        <v>1.7093751260000001</v>
      </c>
      <c r="G65" s="4">
        <v>18.99992559</v>
      </c>
      <c r="H65" s="2" t="s">
        <v>28</v>
      </c>
      <c r="I65" s="4">
        <v>27.099273239999999</v>
      </c>
      <c r="J65" s="4">
        <v>55.421233710000003</v>
      </c>
      <c r="K65" s="5">
        <v>9.9608330000000005E-3</v>
      </c>
      <c r="L65" s="3">
        <v>1</v>
      </c>
      <c r="M65" s="2" t="s">
        <v>764</v>
      </c>
      <c r="N65" s="2" t="s">
        <v>21</v>
      </c>
      <c r="O65" s="4">
        <v>3.2766053202968619</v>
      </c>
      <c r="P65" s="2" t="str">
        <f t="shared" si="0"/>
        <v>Acceptable</v>
      </c>
    </row>
    <row r="66" spans="1:16" ht="20.100000000000001" customHeight="1" x14ac:dyDescent="0.3">
      <c r="A66" s="2" t="s">
        <v>618</v>
      </c>
      <c r="B66" s="2" t="s">
        <v>770</v>
      </c>
      <c r="C66" s="3">
        <v>75</v>
      </c>
      <c r="D66" s="2" t="s">
        <v>757</v>
      </c>
      <c r="E66" s="4">
        <v>67.458127340000004</v>
      </c>
      <c r="F66" s="4">
        <v>0.87329274400000001</v>
      </c>
      <c r="G66" s="4">
        <v>17.885559319999999</v>
      </c>
      <c r="H66" s="2" t="s">
        <v>17</v>
      </c>
      <c r="I66" s="4">
        <v>58.362770089999998</v>
      </c>
      <c r="J66" s="4">
        <v>83.421068520000006</v>
      </c>
      <c r="K66" s="5">
        <v>24.415749859999998</v>
      </c>
      <c r="L66" s="3">
        <v>4</v>
      </c>
      <c r="M66" s="2" t="s">
        <v>764</v>
      </c>
      <c r="N66" s="2" t="s">
        <v>15</v>
      </c>
      <c r="O66" s="4">
        <v>12.677894148109969</v>
      </c>
      <c r="P66" s="2" t="str">
        <f t="shared" si="0"/>
        <v>Superior</v>
      </c>
    </row>
    <row r="67" spans="1:16" ht="20.100000000000001" customHeight="1" x14ac:dyDescent="0.3">
      <c r="A67" s="2" t="s">
        <v>619</v>
      </c>
      <c r="B67" s="2" t="s">
        <v>771</v>
      </c>
      <c r="C67" s="3">
        <v>85</v>
      </c>
      <c r="D67" s="2" t="s">
        <v>757</v>
      </c>
      <c r="E67" s="4">
        <v>61.231465900000003</v>
      </c>
      <c r="F67" s="4">
        <v>2.3313103480000001</v>
      </c>
      <c r="G67" s="4">
        <v>9.1425032979999994</v>
      </c>
      <c r="H67" s="2" t="s">
        <v>24</v>
      </c>
      <c r="I67" s="4">
        <v>53.240288399999997</v>
      </c>
      <c r="J67" s="4">
        <v>85.776406719999997</v>
      </c>
      <c r="K67" s="5">
        <v>38.963863400000001</v>
      </c>
      <c r="L67" s="3">
        <v>7</v>
      </c>
      <c r="M67" s="2" t="s">
        <v>763</v>
      </c>
      <c r="N67" s="2" t="s">
        <v>18</v>
      </c>
      <c r="O67" s="4">
        <v>16.933990865150285</v>
      </c>
      <c r="P67" s="2" t="str">
        <f t="shared" ref="P67:P130" si="1">IF(O67 &lt; 3, "Low", IF(O67 &lt; 10, "Acceptable", IF(O67 &lt; 20, "Superior", "Outstanding")))</f>
        <v>Superior</v>
      </c>
    </row>
    <row r="68" spans="1:16" ht="20.100000000000001" customHeight="1" x14ac:dyDescent="0.3">
      <c r="A68" s="2" t="s">
        <v>620</v>
      </c>
      <c r="B68" s="2" t="s">
        <v>771</v>
      </c>
      <c r="C68" s="3">
        <v>50</v>
      </c>
      <c r="D68" s="2" t="s">
        <v>758</v>
      </c>
      <c r="E68" s="4">
        <v>23.193290220000002</v>
      </c>
      <c r="F68" s="4">
        <v>2.0077104430000001</v>
      </c>
      <c r="G68" s="4">
        <v>31.983192460000001</v>
      </c>
      <c r="H68" s="2" t="s">
        <v>28</v>
      </c>
      <c r="I68" s="4">
        <v>72.881184709999999</v>
      </c>
      <c r="J68" s="4">
        <v>86.935547869999994</v>
      </c>
      <c r="K68" s="5">
        <v>17.07536932</v>
      </c>
      <c r="L68" s="3">
        <v>7</v>
      </c>
      <c r="M68" s="2" t="s">
        <v>762</v>
      </c>
      <c r="N68" s="2" t="s">
        <v>18</v>
      </c>
      <c r="O68" s="4">
        <v>1.6298346181357808</v>
      </c>
      <c r="P68" s="2" t="str">
        <f t="shared" si="1"/>
        <v>Low</v>
      </c>
    </row>
    <row r="69" spans="1:16" ht="20.100000000000001" customHeight="1" x14ac:dyDescent="0.3">
      <c r="A69" s="2" t="s">
        <v>621</v>
      </c>
      <c r="B69" s="2" t="s">
        <v>770</v>
      </c>
      <c r="C69" s="3">
        <v>85</v>
      </c>
      <c r="D69" s="2" t="s">
        <v>760</v>
      </c>
      <c r="E69" s="4">
        <v>48.386176980000002</v>
      </c>
      <c r="F69" s="4">
        <v>3.7383644540000001</v>
      </c>
      <c r="G69" s="4">
        <v>27.805230850000001</v>
      </c>
      <c r="H69" s="2" t="s">
        <v>24</v>
      </c>
      <c r="I69" s="4">
        <v>19.323526229999999</v>
      </c>
      <c r="J69" s="4">
        <v>81.926244650000001</v>
      </c>
      <c r="K69" s="5">
        <v>17.947029489999998</v>
      </c>
      <c r="L69" s="3">
        <v>7</v>
      </c>
      <c r="M69" s="2" t="s">
        <v>764</v>
      </c>
      <c r="N69" s="2" t="s">
        <v>15</v>
      </c>
      <c r="O69" s="4">
        <v>25.747402809643422</v>
      </c>
      <c r="P69" s="2" t="str">
        <f t="shared" si="1"/>
        <v>Outstanding</v>
      </c>
    </row>
    <row r="70" spans="1:16" ht="20.100000000000001" customHeight="1" x14ac:dyDescent="0.3">
      <c r="A70" s="2" t="s">
        <v>622</v>
      </c>
      <c r="B70" s="2" t="s">
        <v>771</v>
      </c>
      <c r="C70" s="3">
        <v>100</v>
      </c>
      <c r="D70" s="2" t="s">
        <v>758</v>
      </c>
      <c r="E70" s="4">
        <v>56.115092500000003</v>
      </c>
      <c r="F70" s="4">
        <v>1.0574159299999999</v>
      </c>
      <c r="G70" s="4">
        <v>5.4880395049999997</v>
      </c>
      <c r="H70" s="2" t="s">
        <v>17</v>
      </c>
      <c r="I70" s="4">
        <v>22.349879300000001</v>
      </c>
      <c r="J70" s="4">
        <v>80.088484519999994</v>
      </c>
      <c r="K70" s="5">
        <v>36.592539010000003</v>
      </c>
      <c r="L70" s="3">
        <v>7</v>
      </c>
      <c r="M70" s="2" t="s">
        <v>762</v>
      </c>
      <c r="N70" s="2" t="s">
        <v>15</v>
      </c>
      <c r="O70" s="4">
        <v>32.400071727412829</v>
      </c>
      <c r="P70" s="2" t="str">
        <f t="shared" si="1"/>
        <v>Outstanding</v>
      </c>
    </row>
    <row r="71" spans="1:16" ht="20.100000000000001" customHeight="1" x14ac:dyDescent="0.3">
      <c r="A71" s="2" t="s">
        <v>623</v>
      </c>
      <c r="B71" s="2" t="s">
        <v>768</v>
      </c>
      <c r="C71" s="3">
        <v>85</v>
      </c>
      <c r="D71" s="2" t="s">
        <v>758</v>
      </c>
      <c r="E71" s="4">
        <v>41.157013910000003</v>
      </c>
      <c r="F71" s="4">
        <v>3.2634983979999999</v>
      </c>
      <c r="G71" s="4">
        <v>46.129688870000003</v>
      </c>
      <c r="H71" s="2" t="s">
        <v>17</v>
      </c>
      <c r="I71" s="4">
        <v>31.46784538</v>
      </c>
      <c r="J71" s="4">
        <v>77.452109039999996</v>
      </c>
      <c r="K71" s="5">
        <v>29.454212399999999</v>
      </c>
      <c r="L71" s="3">
        <v>5</v>
      </c>
      <c r="M71" s="2" t="s">
        <v>763</v>
      </c>
      <c r="N71" s="2" t="s">
        <v>18</v>
      </c>
      <c r="O71" s="4">
        <v>16.086887322313686</v>
      </c>
      <c r="P71" s="2" t="str">
        <f t="shared" si="1"/>
        <v>Superior</v>
      </c>
    </row>
    <row r="72" spans="1:16" ht="20.100000000000001" customHeight="1" x14ac:dyDescent="0.3">
      <c r="A72" s="2" t="s">
        <v>624</v>
      </c>
      <c r="B72" s="2" t="s">
        <v>769</v>
      </c>
      <c r="C72" s="3">
        <v>50</v>
      </c>
      <c r="D72" s="2" t="s">
        <v>759</v>
      </c>
      <c r="E72" s="4">
        <v>41.90586399</v>
      </c>
      <c r="F72" s="4">
        <v>1.8944880909999999</v>
      </c>
      <c r="G72" s="4">
        <v>24.479571450000002</v>
      </c>
      <c r="H72" s="2" t="s">
        <v>14</v>
      </c>
      <c r="I72" s="4">
        <v>46.400942870000002</v>
      </c>
      <c r="J72" s="4">
        <v>58.933160270000002</v>
      </c>
      <c r="K72" s="5">
        <v>11.76834665</v>
      </c>
      <c r="L72" s="3">
        <v>5</v>
      </c>
      <c r="M72" s="2" t="s">
        <v>764</v>
      </c>
      <c r="N72" s="2" t="s">
        <v>21</v>
      </c>
      <c r="O72" s="4">
        <v>2.625866989287557</v>
      </c>
      <c r="P72" s="2" t="str">
        <f t="shared" si="1"/>
        <v>Low</v>
      </c>
    </row>
    <row r="73" spans="1:16" ht="20.100000000000001" customHeight="1" x14ac:dyDescent="0.3">
      <c r="A73" s="2" t="s">
        <v>625</v>
      </c>
      <c r="B73" s="2" t="s">
        <v>22</v>
      </c>
      <c r="C73" s="3">
        <v>62</v>
      </c>
      <c r="D73" s="2" t="s">
        <v>758</v>
      </c>
      <c r="E73" s="4">
        <v>18.10247227</v>
      </c>
      <c r="F73" s="4">
        <v>1.934688459</v>
      </c>
      <c r="G73" s="4">
        <v>41.55273261</v>
      </c>
      <c r="H73" s="2" t="s">
        <v>28</v>
      </c>
      <c r="I73" s="4">
        <v>33.300883159999998</v>
      </c>
      <c r="J73" s="4">
        <v>99.700934590000003</v>
      </c>
      <c r="K73" s="5">
        <v>1.1026309089999999</v>
      </c>
      <c r="L73" s="3">
        <v>3</v>
      </c>
      <c r="M73" s="2" t="s">
        <v>764</v>
      </c>
      <c r="N73" s="2" t="s">
        <v>18</v>
      </c>
      <c r="O73" s="4">
        <v>7.4524315563765242</v>
      </c>
      <c r="P73" s="2" t="str">
        <f t="shared" si="1"/>
        <v>Acceptable</v>
      </c>
    </row>
    <row r="74" spans="1:16" ht="20.100000000000001" customHeight="1" x14ac:dyDescent="0.3">
      <c r="A74" s="2" t="s">
        <v>626</v>
      </c>
      <c r="B74" s="2" t="s">
        <v>770</v>
      </c>
      <c r="C74" s="3">
        <v>50</v>
      </c>
      <c r="D74" s="2" t="s">
        <v>757</v>
      </c>
      <c r="E74" s="4">
        <v>59.198540149999999</v>
      </c>
      <c r="F74" s="4">
        <v>3.4047280949999998</v>
      </c>
      <c r="G74" s="4">
        <v>10.553605879999999</v>
      </c>
      <c r="H74" s="2" t="s">
        <v>24</v>
      </c>
      <c r="I74" s="4">
        <v>32.901614780000003</v>
      </c>
      <c r="J74" s="4">
        <v>90.235271409999996</v>
      </c>
      <c r="K74" s="5">
        <v>2.483073707</v>
      </c>
      <c r="L74" s="3">
        <v>6</v>
      </c>
      <c r="M74" s="2" t="s">
        <v>762</v>
      </c>
      <c r="N74" s="2" t="s">
        <v>18</v>
      </c>
      <c r="O74" s="4">
        <v>16.970343869786841</v>
      </c>
      <c r="P74" s="2" t="str">
        <f t="shared" si="1"/>
        <v>Superior</v>
      </c>
    </row>
    <row r="75" spans="1:16" ht="20.100000000000001" customHeight="1" x14ac:dyDescent="0.3">
      <c r="A75" s="2" t="s">
        <v>627</v>
      </c>
      <c r="B75" s="2" t="s">
        <v>771</v>
      </c>
      <c r="C75" s="3">
        <v>100</v>
      </c>
      <c r="D75" s="2" t="s">
        <v>761</v>
      </c>
      <c r="E75" s="4">
        <v>23.915003800000001</v>
      </c>
      <c r="F75" s="4">
        <v>2.3328088170000001</v>
      </c>
      <c r="G75" s="4">
        <v>33.504959550000002</v>
      </c>
      <c r="H75" s="2" t="s">
        <v>28</v>
      </c>
      <c r="I75" s="4">
        <v>38.270732459999998</v>
      </c>
      <c r="J75" s="4">
        <v>84.480865789999996</v>
      </c>
      <c r="K75" s="5">
        <v>4.8322955040000002</v>
      </c>
      <c r="L75" s="3">
        <v>2</v>
      </c>
      <c r="M75" s="2" t="s">
        <v>762</v>
      </c>
      <c r="N75" s="2" t="s">
        <v>15</v>
      </c>
      <c r="O75" s="4">
        <v>11.051155141854567</v>
      </c>
      <c r="P75" s="2" t="str">
        <f t="shared" si="1"/>
        <v>Superior</v>
      </c>
    </row>
    <row r="76" spans="1:16" ht="20.100000000000001" customHeight="1" x14ac:dyDescent="0.3">
      <c r="A76" s="2" t="s">
        <v>628</v>
      </c>
      <c r="B76" s="2" t="s">
        <v>768</v>
      </c>
      <c r="C76" s="3">
        <v>50</v>
      </c>
      <c r="D76" s="2" t="s">
        <v>761</v>
      </c>
      <c r="E76" s="4">
        <v>13.819971239999999</v>
      </c>
      <c r="F76" s="4">
        <v>2.0907776149999999</v>
      </c>
      <c r="G76" s="4">
        <v>12.27483651</v>
      </c>
      <c r="H76" s="2" t="s">
        <v>17</v>
      </c>
      <c r="I76" s="4">
        <v>86.608758649999999</v>
      </c>
      <c r="J76" s="4">
        <v>99.093127490000001</v>
      </c>
      <c r="K76" s="5">
        <v>38.58891646</v>
      </c>
      <c r="L76" s="3">
        <v>7</v>
      </c>
      <c r="M76" s="2" t="s">
        <v>762</v>
      </c>
      <c r="N76" s="2" t="s">
        <v>15</v>
      </c>
      <c r="O76" s="4">
        <v>0.86266809159176094</v>
      </c>
      <c r="P76" s="2" t="str">
        <f t="shared" si="1"/>
        <v>Low</v>
      </c>
    </row>
    <row r="77" spans="1:16" ht="20.100000000000001" customHeight="1" x14ac:dyDescent="0.3">
      <c r="A77" s="2" t="s">
        <v>78</v>
      </c>
      <c r="B77" s="2" t="s">
        <v>769</v>
      </c>
      <c r="C77" s="3">
        <v>100</v>
      </c>
      <c r="D77" s="2" t="s">
        <v>758</v>
      </c>
      <c r="E77" s="4">
        <v>36.137269000000003</v>
      </c>
      <c r="F77" s="4">
        <v>2.4493464550000001</v>
      </c>
      <c r="G77" s="4">
        <v>36.377075789999999</v>
      </c>
      <c r="H77" s="2" t="s">
        <v>28</v>
      </c>
      <c r="I77" s="4">
        <v>48.612193470000001</v>
      </c>
      <c r="J77" s="4">
        <v>95.831199359999999</v>
      </c>
      <c r="K77" s="5">
        <v>32.307338289999997</v>
      </c>
      <c r="L77" s="3">
        <v>1</v>
      </c>
      <c r="M77" s="2" t="s">
        <v>764</v>
      </c>
      <c r="N77" s="2" t="s">
        <v>18</v>
      </c>
      <c r="O77" s="4">
        <v>17.063659177595145</v>
      </c>
      <c r="P77" s="2" t="str">
        <f t="shared" si="1"/>
        <v>Superior</v>
      </c>
    </row>
    <row r="78" spans="1:16" ht="20.100000000000001" customHeight="1" x14ac:dyDescent="0.3">
      <c r="A78" s="2" t="s">
        <v>629</v>
      </c>
      <c r="B78" s="2" t="s">
        <v>22</v>
      </c>
      <c r="C78" s="3">
        <v>75</v>
      </c>
      <c r="D78" s="2" t="s">
        <v>759</v>
      </c>
      <c r="E78" s="4">
        <v>55.09525584</v>
      </c>
      <c r="F78" s="4">
        <v>1.2894389879999999</v>
      </c>
      <c r="G78" s="4">
        <v>45.210629939999997</v>
      </c>
      <c r="H78" s="2" t="s">
        <v>14</v>
      </c>
      <c r="I78" s="4">
        <v>54.163476549999999</v>
      </c>
      <c r="J78" s="4">
        <v>56.696217560000001</v>
      </c>
      <c r="K78" s="5">
        <v>3.287417875</v>
      </c>
      <c r="L78" s="3">
        <v>3</v>
      </c>
      <c r="M78" s="2" t="s">
        <v>762</v>
      </c>
      <c r="N78" s="2" t="s">
        <v>15</v>
      </c>
      <c r="O78" s="4">
        <v>1.0465651044180759</v>
      </c>
      <c r="P78" s="2" t="str">
        <f t="shared" si="1"/>
        <v>Low</v>
      </c>
    </row>
    <row r="79" spans="1:16" ht="20.100000000000001" customHeight="1" x14ac:dyDescent="0.3">
      <c r="A79" s="2" t="s">
        <v>630</v>
      </c>
      <c r="B79" s="2" t="s">
        <v>22</v>
      </c>
      <c r="C79" s="3">
        <v>102.3993713</v>
      </c>
      <c r="D79" s="2" t="s">
        <v>760</v>
      </c>
      <c r="E79" s="4">
        <v>38.188211099999997</v>
      </c>
      <c r="F79" s="4">
        <v>3.227826774</v>
      </c>
      <c r="G79" s="4">
        <v>23.196373699999999</v>
      </c>
      <c r="H79" s="2" t="s">
        <v>28</v>
      </c>
      <c r="I79" s="4">
        <v>40.629023740000001</v>
      </c>
      <c r="J79" s="4">
        <v>62.795202140000001</v>
      </c>
      <c r="K79" s="5">
        <v>21.181387480000001</v>
      </c>
      <c r="L79" s="3">
        <v>6</v>
      </c>
      <c r="M79" s="2" t="s">
        <v>763</v>
      </c>
      <c r="N79" s="2" t="s">
        <v>15</v>
      </c>
      <c r="O79" s="4">
        <v>8.6679705895804418</v>
      </c>
      <c r="P79" s="2" t="str">
        <f t="shared" si="1"/>
        <v>Acceptable</v>
      </c>
    </row>
    <row r="80" spans="1:16" ht="20.100000000000001" customHeight="1" x14ac:dyDescent="0.3">
      <c r="A80" s="2" t="s">
        <v>631</v>
      </c>
      <c r="B80" s="2" t="s">
        <v>770</v>
      </c>
      <c r="C80" s="3">
        <v>60.309202450000001</v>
      </c>
      <c r="D80" s="2" t="s">
        <v>757</v>
      </c>
      <c r="E80" s="4">
        <v>41.131687229999997</v>
      </c>
      <c r="F80" s="4">
        <v>0.63263027000000005</v>
      </c>
      <c r="G80" s="4">
        <v>46.543356299999999</v>
      </c>
      <c r="H80" s="2" t="s">
        <v>17</v>
      </c>
      <c r="I80" s="4">
        <v>64.748368099999993</v>
      </c>
      <c r="J80" s="4">
        <v>92.694568759999996</v>
      </c>
      <c r="K80" s="5">
        <v>11.133741049999999</v>
      </c>
      <c r="L80" s="3">
        <v>4.4351522289999998</v>
      </c>
      <c r="M80" s="2" t="s">
        <v>763</v>
      </c>
      <c r="N80" s="2" t="s">
        <v>15</v>
      </c>
      <c r="O80" s="4">
        <v>6.9323883384833085</v>
      </c>
      <c r="P80" s="2" t="str">
        <f t="shared" si="1"/>
        <v>Acceptable</v>
      </c>
    </row>
    <row r="81" spans="1:16" ht="20.100000000000001" customHeight="1" x14ac:dyDescent="0.3">
      <c r="A81" s="2" t="s">
        <v>632</v>
      </c>
      <c r="B81" s="2" t="s">
        <v>768</v>
      </c>
      <c r="C81" s="3">
        <v>75</v>
      </c>
      <c r="D81" s="2" t="s">
        <v>760</v>
      </c>
      <c r="E81" s="4">
        <v>72.311216360000003</v>
      </c>
      <c r="F81" s="4">
        <v>0.94538017900000004</v>
      </c>
      <c r="G81" s="4">
        <v>34.261668149999998</v>
      </c>
      <c r="H81" s="2" t="s">
        <v>24</v>
      </c>
      <c r="I81" s="4">
        <v>59.491108009999998</v>
      </c>
      <c r="J81" s="4">
        <v>92.312930609999995</v>
      </c>
      <c r="K81" s="5">
        <v>8.4125816100000002</v>
      </c>
      <c r="L81" s="3">
        <v>0</v>
      </c>
      <c r="M81" s="2" t="s">
        <v>762</v>
      </c>
      <c r="N81" s="2" t="s">
        <v>18</v>
      </c>
      <c r="O81" s="4">
        <v>17.80039436518603</v>
      </c>
      <c r="P81" s="2" t="str">
        <f t="shared" si="1"/>
        <v>Superior</v>
      </c>
    </row>
    <row r="82" spans="1:16" ht="20.100000000000001" customHeight="1" x14ac:dyDescent="0.3">
      <c r="A82" s="2" t="s">
        <v>633</v>
      </c>
      <c r="B82" s="2" t="s">
        <v>771</v>
      </c>
      <c r="C82" s="3">
        <v>75</v>
      </c>
      <c r="D82" s="2" t="s">
        <v>760</v>
      </c>
      <c r="E82" s="4">
        <v>37.493805700000003</v>
      </c>
      <c r="F82" s="4">
        <v>1.85476869</v>
      </c>
      <c r="G82" s="4">
        <v>15.80000416</v>
      </c>
      <c r="H82" s="2" t="s">
        <v>28</v>
      </c>
      <c r="I82" s="4">
        <v>86.544451559999999</v>
      </c>
      <c r="J82" s="4">
        <v>93.381778909999994</v>
      </c>
      <c r="K82" s="5">
        <v>0.400354873</v>
      </c>
      <c r="L82" s="3">
        <v>7</v>
      </c>
      <c r="M82" s="2" t="s">
        <v>764</v>
      </c>
      <c r="N82" s="2" t="s">
        <v>18</v>
      </c>
      <c r="O82" s="4">
        <v>1.9226806737614681</v>
      </c>
      <c r="P82" s="2" t="str">
        <f t="shared" si="1"/>
        <v>Low</v>
      </c>
    </row>
    <row r="83" spans="1:16" ht="20.100000000000001" customHeight="1" x14ac:dyDescent="0.3">
      <c r="A83" s="2" t="s">
        <v>634</v>
      </c>
      <c r="B83" s="2" t="s">
        <v>22</v>
      </c>
      <c r="C83" s="3">
        <v>75</v>
      </c>
      <c r="D83" s="2" t="s">
        <v>757</v>
      </c>
      <c r="E83" s="4">
        <v>33.467398979999999</v>
      </c>
      <c r="F83" s="4">
        <v>3.3861550880000002</v>
      </c>
      <c r="G83" s="4">
        <v>18.942976040000001</v>
      </c>
      <c r="H83" s="2" t="s">
        <v>17</v>
      </c>
      <c r="I83" s="4">
        <v>44.254323050000004</v>
      </c>
      <c r="J83" s="4">
        <v>91.060192549999996</v>
      </c>
      <c r="K83" s="5">
        <v>26.827732099999999</v>
      </c>
      <c r="L83" s="3">
        <v>6</v>
      </c>
      <c r="M83" s="2" t="s">
        <v>762</v>
      </c>
      <c r="N83" s="2" t="s">
        <v>15</v>
      </c>
      <c r="O83" s="4">
        <v>11.748530318717346</v>
      </c>
      <c r="P83" s="2" t="str">
        <f t="shared" si="1"/>
        <v>Superior</v>
      </c>
    </row>
    <row r="84" spans="1:16" ht="20.100000000000001" customHeight="1" x14ac:dyDescent="0.3">
      <c r="A84" s="2" t="s">
        <v>79</v>
      </c>
      <c r="B84" s="2" t="s">
        <v>771</v>
      </c>
      <c r="C84" s="3">
        <v>85</v>
      </c>
      <c r="D84" s="2" t="s">
        <v>759</v>
      </c>
      <c r="E84" s="4">
        <v>29.169529539999999</v>
      </c>
      <c r="F84" s="4">
        <v>1.8374020259999999</v>
      </c>
      <c r="G84" s="4">
        <v>28.504564540000001</v>
      </c>
      <c r="H84" s="2" t="s">
        <v>14</v>
      </c>
      <c r="I84" s="4">
        <v>64.068379010000001</v>
      </c>
      <c r="J84" s="4">
        <v>83.788542609999993</v>
      </c>
      <c r="K84" s="5">
        <v>42.739661050000002</v>
      </c>
      <c r="L84" s="3">
        <v>5</v>
      </c>
      <c r="M84" s="2" t="s">
        <v>764</v>
      </c>
      <c r="N84" s="2" t="s">
        <v>21</v>
      </c>
      <c r="O84" s="4">
        <v>4.8894371046425764</v>
      </c>
      <c r="P84" s="2" t="str">
        <f t="shared" si="1"/>
        <v>Acceptable</v>
      </c>
    </row>
    <row r="85" spans="1:16" ht="20.100000000000001" customHeight="1" x14ac:dyDescent="0.3">
      <c r="A85" s="2" t="s">
        <v>635</v>
      </c>
      <c r="B85" s="2" t="s">
        <v>769</v>
      </c>
      <c r="C85" s="3">
        <v>85</v>
      </c>
      <c r="D85" s="2" t="s">
        <v>758</v>
      </c>
      <c r="E85" s="4">
        <v>45.453448850000001</v>
      </c>
      <c r="F85" s="4">
        <v>1.4410908929999999</v>
      </c>
      <c r="G85" s="4">
        <v>28.194042060000001</v>
      </c>
      <c r="H85" s="2" t="s">
        <v>28</v>
      </c>
      <c r="I85" s="4">
        <v>18.306166879999999</v>
      </c>
      <c r="J85" s="4">
        <v>66.428476419999996</v>
      </c>
      <c r="K85" s="5">
        <v>28.513694449999999</v>
      </c>
      <c r="L85" s="3">
        <v>7</v>
      </c>
      <c r="M85" s="2" t="s">
        <v>764</v>
      </c>
      <c r="N85" s="2" t="s">
        <v>15</v>
      </c>
      <c r="O85" s="4">
        <v>18.592261949372183</v>
      </c>
      <c r="P85" s="2" t="str">
        <f t="shared" si="1"/>
        <v>Superior</v>
      </c>
    </row>
    <row r="86" spans="1:16" ht="20.100000000000001" customHeight="1" x14ac:dyDescent="0.3">
      <c r="A86" s="2" t="s">
        <v>636</v>
      </c>
      <c r="B86" s="2" t="s">
        <v>769</v>
      </c>
      <c r="C86" s="3">
        <v>100</v>
      </c>
      <c r="D86" s="2" t="s">
        <v>760</v>
      </c>
      <c r="E86" s="4">
        <v>31.728682289999998</v>
      </c>
      <c r="F86" s="4">
        <v>2.294614996</v>
      </c>
      <c r="G86" s="4">
        <v>37.50320207</v>
      </c>
      <c r="H86" s="2" t="s">
        <v>17</v>
      </c>
      <c r="I86" s="4">
        <v>76.840812369999995</v>
      </c>
      <c r="J86" s="4">
        <v>87.558779689999994</v>
      </c>
      <c r="K86" s="5">
        <v>7.5800392329999999</v>
      </c>
      <c r="L86" s="3">
        <v>0</v>
      </c>
      <c r="M86" s="2" t="s">
        <v>763</v>
      </c>
      <c r="N86" s="2" t="s">
        <v>15</v>
      </c>
      <c r="O86" s="4">
        <v>3.4006697989088277</v>
      </c>
      <c r="P86" s="2" t="str">
        <f t="shared" si="1"/>
        <v>Acceptable</v>
      </c>
    </row>
    <row r="87" spans="1:16" ht="20.100000000000001" customHeight="1" x14ac:dyDescent="0.3">
      <c r="A87" s="2" t="s">
        <v>637</v>
      </c>
      <c r="B87" s="2" t="s">
        <v>770</v>
      </c>
      <c r="C87" s="3">
        <v>62</v>
      </c>
      <c r="D87" s="2" t="s">
        <v>761</v>
      </c>
      <c r="E87" s="4">
        <v>76.164788439999995</v>
      </c>
      <c r="F87" s="4">
        <v>2.4754102389999999</v>
      </c>
      <c r="G87" s="4">
        <v>32.557458230000002</v>
      </c>
      <c r="H87" s="2" t="s">
        <v>14</v>
      </c>
      <c r="I87" s="4">
        <v>24.928497409999999</v>
      </c>
      <c r="J87" s="4">
        <v>79.557614650000005</v>
      </c>
      <c r="K87" s="5">
        <v>38.503272160000002</v>
      </c>
      <c r="L87" s="3">
        <v>4</v>
      </c>
      <c r="M87" s="2" t="s">
        <v>763</v>
      </c>
      <c r="N87" s="2" t="s">
        <v>21</v>
      </c>
      <c r="O87" s="4">
        <v>25.797053974941051</v>
      </c>
      <c r="P87" s="2" t="str">
        <f t="shared" si="1"/>
        <v>Outstanding</v>
      </c>
    </row>
    <row r="88" spans="1:16" ht="20.100000000000001" customHeight="1" x14ac:dyDescent="0.3">
      <c r="A88" s="2" t="s">
        <v>638</v>
      </c>
      <c r="B88" s="2" t="s">
        <v>22</v>
      </c>
      <c r="C88" s="3">
        <v>75</v>
      </c>
      <c r="D88" s="2" t="s">
        <v>758</v>
      </c>
      <c r="E88" s="4">
        <v>59.168643359999997</v>
      </c>
      <c r="F88" s="4">
        <v>2.7656216570000001</v>
      </c>
      <c r="G88" s="4">
        <v>15.222513530000001</v>
      </c>
      <c r="H88" s="2" t="s">
        <v>24</v>
      </c>
      <c r="I88" s="4">
        <v>50.510105969999998</v>
      </c>
      <c r="J88" s="4">
        <v>68.597764369999993</v>
      </c>
      <c r="K88" s="5">
        <v>29.063687720000001</v>
      </c>
      <c r="L88" s="3">
        <v>1</v>
      </c>
      <c r="M88" s="2" t="s">
        <v>764</v>
      </c>
      <c r="N88" s="2" t="s">
        <v>21</v>
      </c>
      <c r="O88" s="4">
        <v>8.0266665681533098</v>
      </c>
      <c r="P88" s="2" t="str">
        <f t="shared" si="1"/>
        <v>Acceptable</v>
      </c>
    </row>
    <row r="89" spans="1:16" ht="20.100000000000001" customHeight="1" x14ac:dyDescent="0.3">
      <c r="A89" s="2" t="s">
        <v>639</v>
      </c>
      <c r="B89" s="2" t="s">
        <v>769</v>
      </c>
      <c r="C89" s="3">
        <v>179.01305780000001</v>
      </c>
      <c r="D89" s="2" t="s">
        <v>759</v>
      </c>
      <c r="E89" s="4">
        <v>15.104033380000001</v>
      </c>
      <c r="F89" s="4">
        <v>2.891562784</v>
      </c>
      <c r="G89" s="4">
        <v>5.0524574920000003</v>
      </c>
      <c r="H89" s="2" t="s">
        <v>28</v>
      </c>
      <c r="I89" s="4">
        <v>51.4831863</v>
      </c>
      <c r="J89" s="4">
        <v>72.703488050000004</v>
      </c>
      <c r="K89" s="5">
        <v>18.974092850000002</v>
      </c>
      <c r="L89" s="3">
        <v>6</v>
      </c>
      <c r="M89" s="2" t="s">
        <v>762</v>
      </c>
      <c r="N89" s="2" t="s">
        <v>15</v>
      </c>
      <c r="O89" s="4">
        <v>5.7375859311354978</v>
      </c>
      <c r="P89" s="2" t="str">
        <f t="shared" si="1"/>
        <v>Acceptable</v>
      </c>
    </row>
    <row r="90" spans="1:16" ht="20.100000000000001" customHeight="1" x14ac:dyDescent="0.3">
      <c r="A90" s="2" t="s">
        <v>640</v>
      </c>
      <c r="B90" s="2" t="s">
        <v>768</v>
      </c>
      <c r="C90" s="3">
        <v>62</v>
      </c>
      <c r="D90" s="2" t="s">
        <v>757</v>
      </c>
      <c r="E90" s="4">
        <v>66.246537810000007</v>
      </c>
      <c r="F90" s="4">
        <v>1.2541996769999999</v>
      </c>
      <c r="G90" s="4">
        <v>37.462344190000003</v>
      </c>
      <c r="H90" s="2" t="s">
        <v>14</v>
      </c>
      <c r="I90" s="4">
        <v>43.851481710000002</v>
      </c>
      <c r="J90" s="4">
        <v>61.648496020000003</v>
      </c>
      <c r="K90" s="5">
        <v>8.9541260670000007</v>
      </c>
      <c r="L90" s="3">
        <v>3</v>
      </c>
      <c r="M90" s="2" t="s">
        <v>762</v>
      </c>
      <c r="N90" s="2" t="s">
        <v>18</v>
      </c>
      <c r="O90" s="4">
        <v>7.309741604633663</v>
      </c>
      <c r="P90" s="2" t="str">
        <f t="shared" si="1"/>
        <v>Acceptable</v>
      </c>
    </row>
    <row r="91" spans="1:16" ht="20.100000000000001" customHeight="1" x14ac:dyDescent="0.3">
      <c r="A91" s="2" t="s">
        <v>641</v>
      </c>
      <c r="B91" s="2" t="s">
        <v>22</v>
      </c>
      <c r="C91" s="3">
        <v>65.974046049999998</v>
      </c>
      <c r="D91" s="2" t="s">
        <v>757</v>
      </c>
      <c r="E91" s="4">
        <v>64.930506460000004</v>
      </c>
      <c r="F91" s="4">
        <v>3.7325777069999999</v>
      </c>
      <c r="G91" s="4">
        <v>45.60140062</v>
      </c>
      <c r="H91" s="2" t="s">
        <v>28</v>
      </c>
      <c r="I91" s="4">
        <v>58.162527689999997</v>
      </c>
      <c r="J91" s="4">
        <v>72.858894309999997</v>
      </c>
      <c r="K91" s="5">
        <v>26.677244859999998</v>
      </c>
      <c r="L91" s="3">
        <v>2</v>
      </c>
      <c r="M91" s="2" t="s">
        <v>763</v>
      </c>
      <c r="N91" s="2" t="s">
        <v>21</v>
      </c>
      <c r="O91" s="4">
        <v>6.2955240469203613</v>
      </c>
      <c r="P91" s="2" t="str">
        <f t="shared" si="1"/>
        <v>Acceptable</v>
      </c>
    </row>
    <row r="92" spans="1:16" ht="20.100000000000001" customHeight="1" x14ac:dyDescent="0.3">
      <c r="A92" s="2" t="s">
        <v>642</v>
      </c>
      <c r="B92" s="2" t="s">
        <v>770</v>
      </c>
      <c r="C92" s="3">
        <v>62</v>
      </c>
      <c r="D92" s="2" t="s">
        <v>757</v>
      </c>
      <c r="E92" s="4">
        <v>55.628496669999997</v>
      </c>
      <c r="F92" s="4">
        <v>1.376170973</v>
      </c>
      <c r="G92" s="4">
        <v>8.1799643359999994</v>
      </c>
      <c r="H92" s="2" t="s">
        <v>24</v>
      </c>
      <c r="I92" s="4">
        <v>50.627588260000003</v>
      </c>
      <c r="J92" s="4">
        <v>53.248697120000003</v>
      </c>
      <c r="K92" s="5">
        <v>14.564571129999999</v>
      </c>
      <c r="L92" s="3">
        <v>6</v>
      </c>
      <c r="M92" s="2" t="s">
        <v>762</v>
      </c>
      <c r="N92" s="2" t="s">
        <v>18</v>
      </c>
      <c r="O92" s="4">
        <v>0.90401174203934842</v>
      </c>
      <c r="P92" s="2" t="str">
        <f t="shared" si="1"/>
        <v>Low</v>
      </c>
    </row>
    <row r="93" spans="1:16" ht="20.100000000000001" customHeight="1" x14ac:dyDescent="0.3">
      <c r="A93" s="2" t="s">
        <v>643</v>
      </c>
      <c r="B93" s="2" t="s">
        <v>22</v>
      </c>
      <c r="C93" s="3">
        <v>85</v>
      </c>
      <c r="D93" s="2" t="s">
        <v>757</v>
      </c>
      <c r="E93" s="4">
        <v>41.993262199999997</v>
      </c>
      <c r="F93" s="4">
        <v>1.1976918700000001</v>
      </c>
      <c r="G93" s="4">
        <v>6.4833405800000001</v>
      </c>
      <c r="H93" s="2" t="s">
        <v>24</v>
      </c>
      <c r="I93" s="4">
        <v>46.354789330000003</v>
      </c>
      <c r="J93" s="4">
        <v>91.106881279999996</v>
      </c>
      <c r="K93" s="5">
        <v>37.28982997</v>
      </c>
      <c r="L93" s="3">
        <v>4</v>
      </c>
      <c r="M93" s="2" t="s">
        <v>762</v>
      </c>
      <c r="N93" s="2" t="s">
        <v>21</v>
      </c>
      <c r="O93" s="4">
        <v>15.973933815666301</v>
      </c>
      <c r="P93" s="2" t="str">
        <f t="shared" si="1"/>
        <v>Superior</v>
      </c>
    </row>
    <row r="94" spans="1:16" ht="20.100000000000001" customHeight="1" x14ac:dyDescent="0.3">
      <c r="A94" s="2" t="s">
        <v>644</v>
      </c>
      <c r="B94" s="2" t="s">
        <v>771</v>
      </c>
      <c r="C94" s="3">
        <v>24.739974709999998</v>
      </c>
      <c r="D94" s="2" t="s">
        <v>757</v>
      </c>
      <c r="E94" s="4">
        <v>38.69718657</v>
      </c>
      <c r="F94" s="4">
        <v>0.55001769499999997</v>
      </c>
      <c r="G94" s="4">
        <v>30.846818880000001</v>
      </c>
      <c r="H94" s="2" t="s">
        <v>14</v>
      </c>
      <c r="I94" s="4">
        <v>27.790526409999998</v>
      </c>
      <c r="J94" s="4">
        <v>54.736929969999998</v>
      </c>
      <c r="K94" s="5">
        <v>36.663170800000003</v>
      </c>
      <c r="L94" s="3">
        <v>5</v>
      </c>
      <c r="M94" s="2" t="s">
        <v>762</v>
      </c>
      <c r="N94" s="2" t="s">
        <v>21</v>
      </c>
      <c r="O94" s="4">
        <v>2.5797608776100676</v>
      </c>
      <c r="P94" s="2" t="str">
        <f t="shared" si="1"/>
        <v>Low</v>
      </c>
    </row>
    <row r="95" spans="1:16" ht="20.100000000000001" customHeight="1" x14ac:dyDescent="0.3">
      <c r="A95" s="2" t="s">
        <v>645</v>
      </c>
      <c r="B95" s="2" t="s">
        <v>770</v>
      </c>
      <c r="C95" s="3">
        <v>84.631703189999996</v>
      </c>
      <c r="D95" s="2" t="s">
        <v>760</v>
      </c>
      <c r="E95" s="4">
        <v>62.26265635</v>
      </c>
      <c r="F95" s="4">
        <v>1.7046015910000001</v>
      </c>
      <c r="G95" s="4">
        <v>23.577850720000001</v>
      </c>
      <c r="H95" s="2" t="s">
        <v>17</v>
      </c>
      <c r="I95" s="4">
        <v>34.70206211</v>
      </c>
      <c r="J95" s="4">
        <v>51.284013190000003</v>
      </c>
      <c r="K95" s="5">
        <v>9.2501484049999991</v>
      </c>
      <c r="L95" s="3">
        <v>2</v>
      </c>
      <c r="M95" s="2" t="s">
        <v>763</v>
      </c>
      <c r="N95" s="2" t="s">
        <v>18</v>
      </c>
      <c r="O95" s="4">
        <v>8.7376844341244233</v>
      </c>
      <c r="P95" s="2" t="str">
        <f t="shared" si="1"/>
        <v>Acceptable</v>
      </c>
    </row>
    <row r="96" spans="1:16" ht="20.100000000000001" customHeight="1" x14ac:dyDescent="0.3">
      <c r="A96" s="2" t="s">
        <v>646</v>
      </c>
      <c r="B96" s="2" t="s">
        <v>770</v>
      </c>
      <c r="C96" s="3">
        <v>62</v>
      </c>
      <c r="D96" s="2" t="s">
        <v>760</v>
      </c>
      <c r="E96" s="4">
        <v>35.844139089999999</v>
      </c>
      <c r="F96" s="4">
        <v>3.7949895819999999</v>
      </c>
      <c r="G96" s="4">
        <v>34.740983700000001</v>
      </c>
      <c r="H96" s="2" t="s">
        <v>14</v>
      </c>
      <c r="I96" s="4">
        <v>55.960807959999997</v>
      </c>
      <c r="J96" s="4">
        <v>87.105568000000005</v>
      </c>
      <c r="K96" s="5">
        <v>9.1878571769999997</v>
      </c>
      <c r="L96" s="3">
        <v>6</v>
      </c>
      <c r="M96" s="2" t="s">
        <v>764</v>
      </c>
      <c r="N96" s="2" t="s">
        <v>18</v>
      </c>
      <c r="O96" s="4">
        <v>6.9214140869502918</v>
      </c>
      <c r="P96" s="2" t="str">
        <f t="shared" si="1"/>
        <v>Acceptable</v>
      </c>
    </row>
    <row r="97" spans="1:16" ht="20.100000000000001" customHeight="1" x14ac:dyDescent="0.3">
      <c r="A97" s="2" t="s">
        <v>647</v>
      </c>
      <c r="B97" s="2" t="s">
        <v>22</v>
      </c>
      <c r="C97" s="3">
        <v>100</v>
      </c>
      <c r="D97" s="2" t="s">
        <v>759</v>
      </c>
      <c r="E97" s="4">
        <v>55.46883682</v>
      </c>
      <c r="F97" s="4">
        <v>3.5403790119999998</v>
      </c>
      <c r="G97" s="4">
        <v>26.484266980000001</v>
      </c>
      <c r="H97" s="2" t="s">
        <v>17</v>
      </c>
      <c r="I97" s="4">
        <v>38.4751768</v>
      </c>
      <c r="J97" s="4">
        <v>82.298362749999995</v>
      </c>
      <c r="K97" s="5">
        <v>1.3585055210000001</v>
      </c>
      <c r="L97" s="3">
        <v>0</v>
      </c>
      <c r="M97" s="2" t="s">
        <v>762</v>
      </c>
      <c r="N97" s="2" t="s">
        <v>21</v>
      </c>
      <c r="O97" s="4">
        <v>24.308211503930664</v>
      </c>
      <c r="P97" s="2" t="str">
        <f t="shared" si="1"/>
        <v>Outstanding</v>
      </c>
    </row>
    <row r="98" spans="1:16" ht="20.100000000000001" customHeight="1" x14ac:dyDescent="0.3">
      <c r="A98" s="2" t="s">
        <v>80</v>
      </c>
      <c r="B98" s="2" t="s">
        <v>769</v>
      </c>
      <c r="C98" s="3">
        <v>100</v>
      </c>
      <c r="D98" s="2" t="s">
        <v>760</v>
      </c>
      <c r="E98" s="4">
        <v>26.869109609999999</v>
      </c>
      <c r="F98" s="4">
        <v>2.4636849380000001</v>
      </c>
      <c r="G98" s="4">
        <v>12.05183663</v>
      </c>
      <c r="H98" s="2" t="s">
        <v>17</v>
      </c>
      <c r="I98" s="4">
        <v>28.179847290000001</v>
      </c>
      <c r="J98" s="4">
        <v>54.562401340000001</v>
      </c>
      <c r="K98" s="5">
        <v>7.7913793519999999</v>
      </c>
      <c r="L98" s="3">
        <v>3</v>
      </c>
      <c r="M98" s="2" t="s">
        <v>762</v>
      </c>
      <c r="N98" s="2" t="s">
        <v>21</v>
      </c>
      <c r="O98" s="4">
        <v>7.0887573656119933</v>
      </c>
      <c r="P98" s="2" t="str">
        <f t="shared" si="1"/>
        <v>Acceptable</v>
      </c>
    </row>
    <row r="99" spans="1:16" ht="20.100000000000001" customHeight="1" x14ac:dyDescent="0.3">
      <c r="A99" s="2" t="s">
        <v>648</v>
      </c>
      <c r="B99" s="2" t="s">
        <v>769</v>
      </c>
      <c r="C99" s="3">
        <v>62</v>
      </c>
      <c r="D99" s="2" t="s">
        <v>757</v>
      </c>
      <c r="E99" s="4">
        <v>19.721540009999998</v>
      </c>
      <c r="F99" s="4">
        <v>1.483281034</v>
      </c>
      <c r="G99" s="4">
        <v>47.609115989999999</v>
      </c>
      <c r="H99" s="2" t="s">
        <v>24</v>
      </c>
      <c r="I99" s="4">
        <v>58.690095939999999</v>
      </c>
      <c r="J99" s="4">
        <v>84.55286821</v>
      </c>
      <c r="K99" s="5">
        <v>35.769526769999999</v>
      </c>
      <c r="L99" s="3">
        <v>1.41310713</v>
      </c>
      <c r="M99" s="2" t="s">
        <v>762</v>
      </c>
      <c r="N99" s="2" t="s">
        <v>15</v>
      </c>
      <c r="O99" s="4">
        <v>3.1623329281724057</v>
      </c>
      <c r="P99" s="2" t="str">
        <f t="shared" si="1"/>
        <v>Acceptable</v>
      </c>
    </row>
    <row r="100" spans="1:16" ht="20.100000000000001" customHeight="1" x14ac:dyDescent="0.3">
      <c r="A100" s="2" t="s">
        <v>649</v>
      </c>
      <c r="B100" s="2" t="s">
        <v>770</v>
      </c>
      <c r="C100" s="3">
        <v>28.592175520000001</v>
      </c>
      <c r="D100" s="2" t="s">
        <v>760</v>
      </c>
      <c r="E100" s="4">
        <v>68.450256749999994</v>
      </c>
      <c r="F100" s="4">
        <v>2.1861491819999999</v>
      </c>
      <c r="G100" s="4">
        <v>14.97180144</v>
      </c>
      <c r="H100" s="2" t="s">
        <v>24</v>
      </c>
      <c r="I100" s="4">
        <v>26.459694559999999</v>
      </c>
      <c r="J100" s="4">
        <v>98.790221009999996</v>
      </c>
      <c r="K100" s="5">
        <v>18.59929374</v>
      </c>
      <c r="L100" s="3">
        <v>4.3875009690000004</v>
      </c>
      <c r="M100" s="2" t="s">
        <v>762</v>
      </c>
      <c r="N100" s="2" t="s">
        <v>15</v>
      </c>
      <c r="O100" s="4">
        <v>14.156109350427885</v>
      </c>
      <c r="P100" s="2" t="str">
        <f t="shared" si="1"/>
        <v>Superior</v>
      </c>
    </row>
    <row r="101" spans="1:16" ht="20.100000000000001" customHeight="1" x14ac:dyDescent="0.3">
      <c r="A101" s="2" t="s">
        <v>650</v>
      </c>
      <c r="B101" s="2" t="s">
        <v>770</v>
      </c>
      <c r="C101" s="3">
        <v>62</v>
      </c>
      <c r="D101" s="2" t="s">
        <v>759</v>
      </c>
      <c r="E101" s="4">
        <v>79.949744109999997</v>
      </c>
      <c r="F101" s="4">
        <v>1.659160703</v>
      </c>
      <c r="G101" s="4">
        <v>10.887323540000001</v>
      </c>
      <c r="H101" s="2" t="s">
        <v>17</v>
      </c>
      <c r="I101" s="4">
        <v>52.135175029999999</v>
      </c>
      <c r="J101" s="4">
        <v>93.017153059999998</v>
      </c>
      <c r="K101" s="5">
        <v>34.42869924</v>
      </c>
      <c r="L101" s="3">
        <v>6</v>
      </c>
      <c r="M101" s="2" t="s">
        <v>764</v>
      </c>
      <c r="N101" s="2" t="s">
        <v>21</v>
      </c>
      <c r="O101" s="4">
        <v>20.26472282969668</v>
      </c>
      <c r="P101" s="2" t="str">
        <f t="shared" si="1"/>
        <v>Outstanding</v>
      </c>
    </row>
    <row r="102" spans="1:16" ht="20.100000000000001" customHeight="1" x14ac:dyDescent="0.3">
      <c r="A102" s="2" t="s">
        <v>651</v>
      </c>
      <c r="B102" s="2" t="s">
        <v>768</v>
      </c>
      <c r="C102" s="3">
        <v>75</v>
      </c>
      <c r="D102" s="2" t="s">
        <v>757</v>
      </c>
      <c r="E102" s="4">
        <v>35.382659529999998</v>
      </c>
      <c r="F102" s="4">
        <v>1.717828015</v>
      </c>
      <c r="G102" s="4">
        <v>23.771635499999999</v>
      </c>
      <c r="H102" s="2" t="s">
        <v>14</v>
      </c>
      <c r="I102" s="4">
        <v>54.481462120000003</v>
      </c>
      <c r="J102" s="4">
        <v>70.459848410000006</v>
      </c>
      <c r="K102" s="5">
        <v>33.893571379999997</v>
      </c>
      <c r="L102" s="3">
        <v>5</v>
      </c>
      <c r="M102" s="2" t="s">
        <v>762</v>
      </c>
      <c r="N102" s="2" t="s">
        <v>21</v>
      </c>
      <c r="O102" s="4">
        <v>4.2401835145341735</v>
      </c>
      <c r="P102" s="2" t="str">
        <f t="shared" si="1"/>
        <v>Acceptable</v>
      </c>
    </row>
    <row r="103" spans="1:16" ht="20.100000000000001" customHeight="1" x14ac:dyDescent="0.3">
      <c r="A103" s="2" t="s">
        <v>652</v>
      </c>
      <c r="B103" s="2" t="s">
        <v>22</v>
      </c>
      <c r="C103" s="3">
        <v>62</v>
      </c>
      <c r="D103" s="2" t="s">
        <v>761</v>
      </c>
      <c r="E103" s="4">
        <v>37.688027669999997</v>
      </c>
      <c r="F103" s="4">
        <v>0.60241738199999995</v>
      </c>
      <c r="G103" s="4">
        <v>45.364514560000003</v>
      </c>
      <c r="H103" s="2" t="s">
        <v>17</v>
      </c>
      <c r="I103" s="4">
        <v>17.969742480000001</v>
      </c>
      <c r="J103" s="4">
        <v>67.456687149999993</v>
      </c>
      <c r="K103" s="5">
        <v>26.066961750000001</v>
      </c>
      <c r="L103" s="3">
        <v>1</v>
      </c>
      <c r="M103" s="2" t="s">
        <v>763</v>
      </c>
      <c r="N103" s="2" t="s">
        <v>18</v>
      </c>
      <c r="O103" s="4">
        <v>11.563405108165657</v>
      </c>
      <c r="P103" s="2" t="str">
        <f t="shared" si="1"/>
        <v>Superior</v>
      </c>
    </row>
    <row r="104" spans="1:16" ht="20.100000000000001" customHeight="1" x14ac:dyDescent="0.3">
      <c r="A104" s="2" t="s">
        <v>653</v>
      </c>
      <c r="B104" s="2" t="s">
        <v>22</v>
      </c>
      <c r="C104" s="3">
        <v>110.6581279</v>
      </c>
      <c r="D104" s="2" t="s">
        <v>757</v>
      </c>
      <c r="E104" s="4">
        <v>20.793439289999998</v>
      </c>
      <c r="F104" s="4">
        <v>1.4706697209999999</v>
      </c>
      <c r="G104" s="4">
        <v>30.185692830000001</v>
      </c>
      <c r="H104" s="2" t="s">
        <v>24</v>
      </c>
      <c r="I104" s="4">
        <v>33.550428709999998</v>
      </c>
      <c r="J104" s="4">
        <v>93.646364919999996</v>
      </c>
      <c r="K104" s="5">
        <v>13.659919049999999</v>
      </c>
      <c r="L104" s="3">
        <v>6</v>
      </c>
      <c r="M104" s="2" t="s">
        <v>763</v>
      </c>
      <c r="N104" s="2" t="s">
        <v>15</v>
      </c>
      <c r="O104" s="4">
        <v>13.827852954177406</v>
      </c>
      <c r="P104" s="2" t="str">
        <f t="shared" si="1"/>
        <v>Superior</v>
      </c>
    </row>
    <row r="105" spans="1:16" ht="20.100000000000001" customHeight="1" x14ac:dyDescent="0.3">
      <c r="A105" s="2" t="s">
        <v>654</v>
      </c>
      <c r="B105" s="2" t="s">
        <v>769</v>
      </c>
      <c r="C105" s="3">
        <v>100</v>
      </c>
      <c r="D105" s="2" t="s">
        <v>761</v>
      </c>
      <c r="E105" s="4">
        <v>53.362894699999998</v>
      </c>
      <c r="F105" s="4">
        <v>3.7998192080000002</v>
      </c>
      <c r="G105" s="4">
        <v>38.625545590000002</v>
      </c>
      <c r="H105" s="2" t="s">
        <v>28</v>
      </c>
      <c r="I105" s="4">
        <v>33.266651609999997</v>
      </c>
      <c r="J105" s="4">
        <v>92.036454120000002</v>
      </c>
      <c r="K105" s="5">
        <v>29.880196470000001</v>
      </c>
      <c r="L105" s="3">
        <v>4</v>
      </c>
      <c r="M105" s="2" t="s">
        <v>763</v>
      </c>
      <c r="N105" s="2" t="s">
        <v>15</v>
      </c>
      <c r="O105" s="4">
        <v>31.361267828809261</v>
      </c>
      <c r="P105" s="2" t="str">
        <f t="shared" si="1"/>
        <v>Outstanding</v>
      </c>
    </row>
    <row r="106" spans="1:16" ht="20.100000000000001" customHeight="1" x14ac:dyDescent="0.3">
      <c r="A106" s="2" t="s">
        <v>655</v>
      </c>
      <c r="B106" s="2" t="s">
        <v>769</v>
      </c>
      <c r="C106" s="3">
        <v>100</v>
      </c>
      <c r="D106" s="2" t="s">
        <v>759</v>
      </c>
      <c r="E106" s="4">
        <v>24.267335450000001</v>
      </c>
      <c r="F106" s="4">
        <v>1.6404240379999999</v>
      </c>
      <c r="G106" s="4">
        <v>30.48577367</v>
      </c>
      <c r="H106" s="2" t="s">
        <v>24</v>
      </c>
      <c r="I106" s="4">
        <v>74.684223700000004</v>
      </c>
      <c r="J106" s="4">
        <v>79.530174479999999</v>
      </c>
      <c r="K106" s="5">
        <v>11.697359730000001</v>
      </c>
      <c r="L106" s="3">
        <v>6</v>
      </c>
      <c r="M106" s="2" t="s">
        <v>764</v>
      </c>
      <c r="N106" s="2" t="s">
        <v>21</v>
      </c>
      <c r="O106" s="4">
        <v>1.1759831315244904</v>
      </c>
      <c r="P106" s="2" t="str">
        <f t="shared" si="1"/>
        <v>Low</v>
      </c>
    </row>
    <row r="107" spans="1:16" ht="20.100000000000001" customHeight="1" x14ac:dyDescent="0.3">
      <c r="A107" s="2" t="s">
        <v>81</v>
      </c>
      <c r="B107" s="2" t="s">
        <v>22</v>
      </c>
      <c r="C107" s="3">
        <v>85</v>
      </c>
      <c r="D107" s="2" t="s">
        <v>759</v>
      </c>
      <c r="E107" s="4">
        <v>17.933479169999998</v>
      </c>
      <c r="F107" s="4">
        <v>2.7822095660000001</v>
      </c>
      <c r="G107" s="4">
        <v>25.584168420000001</v>
      </c>
      <c r="H107" s="2" t="s">
        <v>17</v>
      </c>
      <c r="I107" s="4">
        <v>29.951321950000001</v>
      </c>
      <c r="J107" s="4">
        <v>76.875886850000001</v>
      </c>
      <c r="K107" s="5">
        <v>38.363581119999999</v>
      </c>
      <c r="L107" s="3">
        <v>7</v>
      </c>
      <c r="M107" s="2" t="s">
        <v>764</v>
      </c>
      <c r="N107" s="2" t="s">
        <v>15</v>
      </c>
      <c r="O107" s="4">
        <v>7.1529260111614352</v>
      </c>
      <c r="P107" s="2" t="str">
        <f t="shared" si="1"/>
        <v>Acceptable</v>
      </c>
    </row>
    <row r="108" spans="1:16" ht="20.100000000000001" customHeight="1" x14ac:dyDescent="0.3">
      <c r="A108" s="2" t="s">
        <v>656</v>
      </c>
      <c r="B108" s="2" t="s">
        <v>769</v>
      </c>
      <c r="C108" s="3">
        <v>100</v>
      </c>
      <c r="D108" s="2" t="s">
        <v>758</v>
      </c>
      <c r="E108" s="4">
        <v>27.706067789999999</v>
      </c>
      <c r="F108" s="4">
        <v>2.85834951</v>
      </c>
      <c r="G108" s="4">
        <v>45.326744589999997</v>
      </c>
      <c r="H108" s="2" t="s">
        <v>24</v>
      </c>
      <c r="I108" s="4">
        <v>46.483029190000003</v>
      </c>
      <c r="J108" s="4">
        <v>98.627344019999995</v>
      </c>
      <c r="K108" s="5">
        <v>19.02928781</v>
      </c>
      <c r="L108" s="3">
        <v>4</v>
      </c>
      <c r="M108" s="2" t="s">
        <v>762</v>
      </c>
      <c r="N108" s="2" t="s">
        <v>15</v>
      </c>
      <c r="O108" s="4">
        <v>14.44713921543082</v>
      </c>
      <c r="P108" s="2" t="str">
        <f t="shared" si="1"/>
        <v>Superior</v>
      </c>
    </row>
    <row r="109" spans="1:16" ht="20.100000000000001" customHeight="1" x14ac:dyDescent="0.3">
      <c r="A109" s="2" t="s">
        <v>657</v>
      </c>
      <c r="B109" s="2" t="s">
        <v>771</v>
      </c>
      <c r="C109" s="3">
        <v>50</v>
      </c>
      <c r="D109" s="2" t="s">
        <v>759</v>
      </c>
      <c r="E109" s="4">
        <v>76.687312230000003</v>
      </c>
      <c r="F109" s="4">
        <v>0.72988292499999996</v>
      </c>
      <c r="G109" s="4">
        <v>45.758313860000001</v>
      </c>
      <c r="H109" s="2" t="s">
        <v>28</v>
      </c>
      <c r="I109" s="4">
        <v>33.294245179999997</v>
      </c>
      <c r="J109" s="4">
        <v>52.039262530000002</v>
      </c>
      <c r="K109" s="5">
        <v>38.738625239999998</v>
      </c>
      <c r="L109" s="3">
        <v>1</v>
      </c>
      <c r="M109" s="2" t="s">
        <v>762</v>
      </c>
      <c r="N109" s="2" t="s">
        <v>15</v>
      </c>
      <c r="O109" s="4">
        <v>7.1875249913810872</v>
      </c>
      <c r="P109" s="2" t="str">
        <f t="shared" si="1"/>
        <v>Acceptable</v>
      </c>
    </row>
    <row r="110" spans="1:16" ht="20.100000000000001" customHeight="1" x14ac:dyDescent="0.3">
      <c r="A110" s="2" t="s">
        <v>658</v>
      </c>
      <c r="B110" s="2" t="s">
        <v>22</v>
      </c>
      <c r="C110" s="3">
        <v>50</v>
      </c>
      <c r="D110" s="2" t="s">
        <v>760</v>
      </c>
      <c r="E110" s="4">
        <v>45.364577879999999</v>
      </c>
      <c r="F110" s="4">
        <v>0.56411022499999997</v>
      </c>
      <c r="G110" s="4">
        <v>25.041460300000001</v>
      </c>
      <c r="H110" s="2" t="s">
        <v>24</v>
      </c>
      <c r="I110" s="4">
        <v>39.082325990000001</v>
      </c>
      <c r="J110" s="4">
        <v>91.733706080000005</v>
      </c>
      <c r="K110" s="5">
        <v>37.330821980000003</v>
      </c>
      <c r="L110" s="3">
        <v>5</v>
      </c>
      <c r="M110" s="2" t="s">
        <v>764</v>
      </c>
      <c r="N110" s="2" t="s">
        <v>15</v>
      </c>
      <c r="O110" s="4">
        <v>11.942538162911431</v>
      </c>
      <c r="P110" s="2" t="str">
        <f t="shared" si="1"/>
        <v>Superior</v>
      </c>
    </row>
    <row r="111" spans="1:16" ht="20.100000000000001" customHeight="1" x14ac:dyDescent="0.3">
      <c r="A111" s="2" t="s">
        <v>659</v>
      </c>
      <c r="B111" s="2" t="s">
        <v>769</v>
      </c>
      <c r="C111" s="3">
        <v>50</v>
      </c>
      <c r="D111" s="2" t="s">
        <v>759</v>
      </c>
      <c r="E111" s="4">
        <v>27.498043110000001</v>
      </c>
      <c r="F111" s="4">
        <v>1.3744963859999999</v>
      </c>
      <c r="G111" s="4">
        <v>46.477342950000001</v>
      </c>
      <c r="H111" s="2" t="s">
        <v>28</v>
      </c>
      <c r="I111" s="4">
        <v>61.564447999999999</v>
      </c>
      <c r="J111" s="4">
        <v>63.289723670000001</v>
      </c>
      <c r="K111" s="5">
        <v>12.40979589</v>
      </c>
      <c r="L111" s="3">
        <v>3</v>
      </c>
      <c r="M111" s="2" t="s">
        <v>764</v>
      </c>
      <c r="N111" s="2" t="s">
        <v>18</v>
      </c>
      <c r="O111" s="4">
        <v>0.23720852375147097</v>
      </c>
      <c r="P111" s="2" t="str">
        <f t="shared" si="1"/>
        <v>Low</v>
      </c>
    </row>
    <row r="112" spans="1:16" ht="20.100000000000001" customHeight="1" x14ac:dyDescent="0.3">
      <c r="A112" s="2" t="s">
        <v>660</v>
      </c>
      <c r="B112" s="2" t="s">
        <v>22</v>
      </c>
      <c r="C112" s="3">
        <v>100</v>
      </c>
      <c r="D112" s="2" t="s">
        <v>757</v>
      </c>
      <c r="E112" s="4">
        <v>74.706930880000002</v>
      </c>
      <c r="F112" s="4">
        <v>3.6814929799999998</v>
      </c>
      <c r="G112" s="4">
        <v>33.463625659999998</v>
      </c>
      <c r="H112" s="2" t="s">
        <v>17</v>
      </c>
      <c r="I112" s="4">
        <v>56.908197430000001</v>
      </c>
      <c r="J112" s="4">
        <v>90.237969930000006</v>
      </c>
      <c r="K112" s="5">
        <v>7.8841054980000003</v>
      </c>
      <c r="L112" s="3">
        <v>1</v>
      </c>
      <c r="M112" s="2" t="s">
        <v>762</v>
      </c>
      <c r="N112" s="2" t="s">
        <v>15</v>
      </c>
      <c r="O112" s="4">
        <v>24.899650104036251</v>
      </c>
      <c r="P112" s="2" t="str">
        <f t="shared" si="1"/>
        <v>Outstanding</v>
      </c>
    </row>
    <row r="113" spans="1:16" ht="20.100000000000001" customHeight="1" x14ac:dyDescent="0.3">
      <c r="A113" s="2" t="s">
        <v>661</v>
      </c>
      <c r="B113" s="2" t="s">
        <v>22</v>
      </c>
      <c r="C113" s="3">
        <v>75</v>
      </c>
      <c r="D113" s="2" t="s">
        <v>760</v>
      </c>
      <c r="E113" s="4">
        <v>9.5165273330000009</v>
      </c>
      <c r="F113" s="4">
        <v>1.278370024</v>
      </c>
      <c r="G113" s="4">
        <v>48.576491099999998</v>
      </c>
      <c r="H113" s="2" t="s">
        <v>24</v>
      </c>
      <c r="I113" s="4">
        <v>18.262214820000001</v>
      </c>
      <c r="J113" s="4">
        <v>88.414129979999998</v>
      </c>
      <c r="K113" s="5">
        <v>27.830930909999999</v>
      </c>
      <c r="L113" s="3">
        <v>0</v>
      </c>
      <c r="M113" s="2" t="s">
        <v>763</v>
      </c>
      <c r="N113" s="2" t="s">
        <v>18</v>
      </c>
      <c r="O113" s="4">
        <v>5.0070196356182786</v>
      </c>
      <c r="P113" s="2" t="str">
        <f t="shared" si="1"/>
        <v>Acceptable</v>
      </c>
    </row>
    <row r="114" spans="1:16" ht="20.100000000000001" customHeight="1" x14ac:dyDescent="0.3">
      <c r="A114" s="2" t="s">
        <v>662</v>
      </c>
      <c r="B114" s="2" t="s">
        <v>769</v>
      </c>
      <c r="C114" s="3">
        <v>50</v>
      </c>
      <c r="D114" s="2" t="s">
        <v>758</v>
      </c>
      <c r="E114" s="4">
        <v>5.7555246489999998</v>
      </c>
      <c r="F114" s="4">
        <v>2.2904466879999998</v>
      </c>
      <c r="G114" s="4">
        <v>39.127025400000001</v>
      </c>
      <c r="H114" s="2" t="s">
        <v>14</v>
      </c>
      <c r="I114" s="4">
        <v>63.615568699999997</v>
      </c>
      <c r="J114" s="4">
        <v>73.807350450000001</v>
      </c>
      <c r="K114" s="5">
        <v>18.962712199999999</v>
      </c>
      <c r="L114" s="3">
        <v>3</v>
      </c>
      <c r="M114" s="2" t="s">
        <v>764</v>
      </c>
      <c r="N114" s="2" t="s">
        <v>15</v>
      </c>
      <c r="O114" s="4">
        <v>0.29329525539676687</v>
      </c>
      <c r="P114" s="2" t="str">
        <f t="shared" si="1"/>
        <v>Low</v>
      </c>
    </row>
    <row r="115" spans="1:16" ht="20.100000000000001" customHeight="1" x14ac:dyDescent="0.3">
      <c r="A115" s="2" t="s">
        <v>663</v>
      </c>
      <c r="B115" s="2" t="s">
        <v>770</v>
      </c>
      <c r="C115" s="3">
        <v>100</v>
      </c>
      <c r="D115" s="2" t="s">
        <v>757</v>
      </c>
      <c r="E115" s="4">
        <v>13.0035395</v>
      </c>
      <c r="F115" s="4">
        <v>1.704673382</v>
      </c>
      <c r="G115" s="4">
        <v>41.184942669999998</v>
      </c>
      <c r="H115" s="2" t="s">
        <v>14</v>
      </c>
      <c r="I115" s="4">
        <v>40.694992130000003</v>
      </c>
      <c r="J115" s="4">
        <v>57.666008929999997</v>
      </c>
      <c r="K115" s="5">
        <v>39.631908789999997</v>
      </c>
      <c r="L115" s="3">
        <v>6</v>
      </c>
      <c r="M115" s="2" t="s">
        <v>763</v>
      </c>
      <c r="N115" s="2" t="s">
        <v>18</v>
      </c>
      <c r="O115" s="4">
        <v>2.2068328731396352</v>
      </c>
      <c r="P115" s="2" t="str">
        <f t="shared" si="1"/>
        <v>Low</v>
      </c>
    </row>
    <row r="116" spans="1:16" ht="20.100000000000001" customHeight="1" x14ac:dyDescent="0.3">
      <c r="A116" s="2" t="s">
        <v>664</v>
      </c>
      <c r="B116" s="2" t="s">
        <v>22</v>
      </c>
      <c r="C116" s="3">
        <v>62</v>
      </c>
      <c r="D116" s="2" t="s">
        <v>761</v>
      </c>
      <c r="E116" s="4">
        <v>21.35157384</v>
      </c>
      <c r="F116" s="4">
        <v>2.8572143400000001</v>
      </c>
      <c r="G116" s="4">
        <v>21.496163370000001</v>
      </c>
      <c r="H116" s="2" t="s">
        <v>14</v>
      </c>
      <c r="I116" s="4">
        <v>49.32313954</v>
      </c>
      <c r="J116" s="4">
        <v>56.183631869999999</v>
      </c>
      <c r="K116" s="5">
        <v>2.5012019699999999</v>
      </c>
      <c r="L116" s="3">
        <v>6</v>
      </c>
      <c r="M116" s="2" t="s">
        <v>762</v>
      </c>
      <c r="N116" s="2" t="s">
        <v>15</v>
      </c>
      <c r="O116" s="4">
        <v>0.90819031308904163</v>
      </c>
      <c r="P116" s="2" t="str">
        <f t="shared" si="1"/>
        <v>Low</v>
      </c>
    </row>
    <row r="117" spans="1:16" ht="20.100000000000001" customHeight="1" x14ac:dyDescent="0.3">
      <c r="A117" s="2" t="s">
        <v>665</v>
      </c>
      <c r="B117" s="2" t="s">
        <v>769</v>
      </c>
      <c r="C117" s="3">
        <v>100</v>
      </c>
      <c r="D117" s="2" t="s">
        <v>758</v>
      </c>
      <c r="E117" s="4">
        <v>9.2060126950000001</v>
      </c>
      <c r="F117" s="4">
        <v>2.8588177140000002</v>
      </c>
      <c r="G117" s="4">
        <v>14.83291702</v>
      </c>
      <c r="H117" s="2" t="s">
        <v>17</v>
      </c>
      <c r="I117" s="4">
        <v>46.607930459999999</v>
      </c>
      <c r="J117" s="4">
        <v>66.146788060000006</v>
      </c>
      <c r="K117" s="5">
        <v>18.455941630000002</v>
      </c>
      <c r="L117" s="3">
        <v>7</v>
      </c>
      <c r="M117" s="2" t="s">
        <v>764</v>
      </c>
      <c r="N117" s="2" t="s">
        <v>18</v>
      </c>
      <c r="O117" s="4">
        <v>1.798749711113973</v>
      </c>
      <c r="P117" s="2" t="str">
        <f t="shared" si="1"/>
        <v>Low</v>
      </c>
    </row>
    <row r="118" spans="1:16" ht="20.100000000000001" customHeight="1" x14ac:dyDescent="0.3">
      <c r="A118" s="2" t="s">
        <v>666</v>
      </c>
      <c r="B118" s="2" t="s">
        <v>22</v>
      </c>
      <c r="C118" s="3">
        <v>75</v>
      </c>
      <c r="D118" s="2" t="s">
        <v>760</v>
      </c>
      <c r="E118" s="4">
        <v>19.936707179999999</v>
      </c>
      <c r="F118" s="4">
        <v>1.9064831849999999</v>
      </c>
      <c r="G118" s="4">
        <v>26.749078189999999</v>
      </c>
      <c r="H118" s="2" t="s">
        <v>17</v>
      </c>
      <c r="I118" s="4">
        <v>12.434282850000001</v>
      </c>
      <c r="J118" s="4">
        <v>139.89740810000001</v>
      </c>
      <c r="K118" s="5">
        <v>3.369212622</v>
      </c>
      <c r="L118" s="3">
        <v>3</v>
      </c>
      <c r="M118" s="2" t="s">
        <v>763</v>
      </c>
      <c r="N118" s="2" t="s">
        <v>18</v>
      </c>
      <c r="O118" s="4">
        <v>19.058962532676855</v>
      </c>
      <c r="P118" s="2" t="str">
        <f t="shared" si="1"/>
        <v>Superior</v>
      </c>
    </row>
    <row r="119" spans="1:16" ht="20.100000000000001" customHeight="1" x14ac:dyDescent="0.3">
      <c r="A119" s="2" t="s">
        <v>667</v>
      </c>
      <c r="B119" s="2" t="s">
        <v>771</v>
      </c>
      <c r="C119" s="3">
        <v>85</v>
      </c>
      <c r="D119" s="2" t="s">
        <v>761</v>
      </c>
      <c r="E119" s="4">
        <v>76.187787880000002</v>
      </c>
      <c r="F119" s="4">
        <v>2.8502383450000002</v>
      </c>
      <c r="G119" s="4">
        <v>14.984051429999999</v>
      </c>
      <c r="H119" s="2" t="s">
        <v>17</v>
      </c>
      <c r="I119" s="4">
        <v>10.28531461</v>
      </c>
      <c r="J119" s="4">
        <v>76.733735409999994</v>
      </c>
      <c r="K119" s="5">
        <v>15.24734965</v>
      </c>
      <c r="L119" s="3">
        <v>0</v>
      </c>
      <c r="M119" s="2" t="s">
        <v>762</v>
      </c>
      <c r="N119" s="2" t="s">
        <v>18</v>
      </c>
      <c r="O119" s="4">
        <v>43.031744605406729</v>
      </c>
      <c r="P119" s="2" t="str">
        <f t="shared" si="1"/>
        <v>Outstanding</v>
      </c>
    </row>
    <row r="120" spans="1:16" ht="20.100000000000001" customHeight="1" x14ac:dyDescent="0.3">
      <c r="A120" s="2" t="s">
        <v>668</v>
      </c>
      <c r="B120" s="2" t="s">
        <v>770</v>
      </c>
      <c r="C120" s="3">
        <v>75</v>
      </c>
      <c r="D120" s="2" t="s">
        <v>758</v>
      </c>
      <c r="E120" s="4">
        <v>72.940731659999997</v>
      </c>
      <c r="F120" s="4">
        <v>3.6092298199999999</v>
      </c>
      <c r="G120" s="4">
        <v>13.825035590000001</v>
      </c>
      <c r="H120" s="2" t="s">
        <v>28</v>
      </c>
      <c r="I120" s="4">
        <v>44.086319349999997</v>
      </c>
      <c r="J120" s="4">
        <v>61.937250519999999</v>
      </c>
      <c r="K120" s="5">
        <v>38.66696331</v>
      </c>
      <c r="L120" s="3">
        <v>6</v>
      </c>
      <c r="M120" s="2" t="s">
        <v>764</v>
      </c>
      <c r="N120" s="2" t="s">
        <v>18</v>
      </c>
      <c r="O120" s="4">
        <v>9.7654498526407494</v>
      </c>
      <c r="P120" s="2" t="str">
        <f t="shared" si="1"/>
        <v>Acceptable</v>
      </c>
    </row>
    <row r="121" spans="1:16" ht="20.100000000000001" customHeight="1" x14ac:dyDescent="0.3">
      <c r="A121" s="2" t="s">
        <v>669</v>
      </c>
      <c r="B121" s="2" t="s">
        <v>769</v>
      </c>
      <c r="C121" s="3">
        <v>85</v>
      </c>
      <c r="D121" s="2" t="s">
        <v>759</v>
      </c>
      <c r="E121" s="4">
        <v>18.017051009999999</v>
      </c>
      <c r="F121" s="4">
        <v>2.4616037159999999</v>
      </c>
      <c r="G121" s="4">
        <v>43.701168260000003</v>
      </c>
      <c r="H121" s="2" t="s">
        <v>24</v>
      </c>
      <c r="I121" s="4">
        <v>71.410758569999999</v>
      </c>
      <c r="J121" s="4">
        <v>76.221361720000004</v>
      </c>
      <c r="K121" s="5">
        <v>19.165600699999999</v>
      </c>
      <c r="L121" s="3">
        <v>4</v>
      </c>
      <c r="M121" s="2" t="s">
        <v>764</v>
      </c>
      <c r="N121" s="2" t="s">
        <v>21</v>
      </c>
      <c r="O121" s="4">
        <v>0.73671949991054264</v>
      </c>
      <c r="P121" s="2" t="str">
        <f t="shared" si="1"/>
        <v>Low</v>
      </c>
    </row>
    <row r="122" spans="1:16" ht="20.100000000000001" customHeight="1" x14ac:dyDescent="0.3">
      <c r="A122" s="2" t="s">
        <v>670</v>
      </c>
      <c r="B122" s="2" t="s">
        <v>22</v>
      </c>
      <c r="C122" s="3">
        <v>75</v>
      </c>
      <c r="D122" s="2" t="s">
        <v>761</v>
      </c>
      <c r="E122" s="4">
        <v>59.126629340000001</v>
      </c>
      <c r="F122" s="4">
        <v>2.4214112220000001</v>
      </c>
      <c r="G122" s="4">
        <v>6.9386140789999997</v>
      </c>
      <c r="H122" s="2" t="s">
        <v>14</v>
      </c>
      <c r="I122" s="4">
        <v>47.378590580000001</v>
      </c>
      <c r="J122" s="4">
        <v>51.070619780000001</v>
      </c>
      <c r="K122" s="5">
        <v>19.74523435</v>
      </c>
      <c r="L122" s="3">
        <v>0</v>
      </c>
      <c r="M122" s="2" t="s">
        <v>762</v>
      </c>
      <c r="N122" s="2" t="s">
        <v>15</v>
      </c>
      <c r="O122" s="4">
        <v>1.6372293151564252</v>
      </c>
      <c r="P122" s="2" t="str">
        <f t="shared" si="1"/>
        <v>Low</v>
      </c>
    </row>
    <row r="123" spans="1:16" ht="20.100000000000001" customHeight="1" x14ac:dyDescent="0.3">
      <c r="A123" s="2" t="s">
        <v>671</v>
      </c>
      <c r="B123" s="2" t="s">
        <v>769</v>
      </c>
      <c r="C123" s="3">
        <v>85</v>
      </c>
      <c r="D123" s="2" t="s">
        <v>760</v>
      </c>
      <c r="E123" s="4">
        <v>35.866680989999999</v>
      </c>
      <c r="F123" s="4">
        <v>4.2266678730000002</v>
      </c>
      <c r="G123" s="4">
        <v>32.79732044</v>
      </c>
      <c r="H123" s="2" t="s">
        <v>28</v>
      </c>
      <c r="I123" s="4">
        <v>83.515686040000006</v>
      </c>
      <c r="J123" s="4">
        <v>85.701878489999999</v>
      </c>
      <c r="K123" s="5">
        <v>8.2534816539999998</v>
      </c>
      <c r="L123" s="3">
        <v>5.352188076</v>
      </c>
      <c r="M123" s="2" t="s">
        <v>764</v>
      </c>
      <c r="N123" s="2" t="s">
        <v>15</v>
      </c>
      <c r="O123" s="4">
        <v>0.66649747108861812</v>
      </c>
      <c r="P123" s="2" t="str">
        <f t="shared" si="1"/>
        <v>Low</v>
      </c>
    </row>
    <row r="124" spans="1:16" ht="20.100000000000001" customHeight="1" x14ac:dyDescent="0.3">
      <c r="A124" s="2" t="s">
        <v>672</v>
      </c>
      <c r="B124" s="2" t="s">
        <v>770</v>
      </c>
      <c r="C124" s="3">
        <v>62</v>
      </c>
      <c r="D124" s="2" t="s">
        <v>761</v>
      </c>
      <c r="E124" s="4">
        <v>5.2001126009999998</v>
      </c>
      <c r="F124" s="4">
        <v>1.8876640010000001</v>
      </c>
      <c r="G124" s="4">
        <v>49.333234519999998</v>
      </c>
      <c r="H124" s="2" t="s">
        <v>17</v>
      </c>
      <c r="I124" s="4">
        <v>18.983577709999999</v>
      </c>
      <c r="J124" s="4">
        <v>89.644635550000004</v>
      </c>
      <c r="K124" s="5">
        <v>37.576726720000003</v>
      </c>
      <c r="L124" s="3">
        <v>2.396060329</v>
      </c>
      <c r="M124" s="2" t="s">
        <v>762</v>
      </c>
      <c r="N124" s="2" t="s">
        <v>21</v>
      </c>
      <c r="O124" s="4">
        <v>2.2781618350973982</v>
      </c>
      <c r="P124" s="2" t="str">
        <f t="shared" si="1"/>
        <v>Low</v>
      </c>
    </row>
    <row r="125" spans="1:16" ht="20.100000000000001" customHeight="1" x14ac:dyDescent="0.3">
      <c r="A125" s="2" t="s">
        <v>673</v>
      </c>
      <c r="B125" s="2" t="s">
        <v>22</v>
      </c>
      <c r="C125" s="3">
        <v>50</v>
      </c>
      <c r="D125" s="2" t="s">
        <v>757</v>
      </c>
      <c r="E125" s="4">
        <v>28.772274029999998</v>
      </c>
      <c r="F125" s="4">
        <v>1.192906394</v>
      </c>
      <c r="G125" s="4">
        <v>25.798792630000001</v>
      </c>
      <c r="H125" s="2" t="s">
        <v>14</v>
      </c>
      <c r="I125" s="4">
        <v>27.985355250000001</v>
      </c>
      <c r="J125" s="4">
        <v>69.496378089999993</v>
      </c>
      <c r="K125" s="5">
        <v>37.485347310000002</v>
      </c>
      <c r="L125" s="3">
        <v>6</v>
      </c>
      <c r="M125" s="2" t="s">
        <v>763</v>
      </c>
      <c r="N125" s="2" t="s">
        <v>21</v>
      </c>
      <c r="O125" s="4">
        <v>5.9718326220903428</v>
      </c>
      <c r="P125" s="2" t="str">
        <f t="shared" si="1"/>
        <v>Acceptable</v>
      </c>
    </row>
    <row r="126" spans="1:16" ht="20.100000000000001" customHeight="1" x14ac:dyDescent="0.3">
      <c r="A126" s="2" t="s">
        <v>674</v>
      </c>
      <c r="B126" s="2" t="s">
        <v>769</v>
      </c>
      <c r="C126" s="3">
        <v>75</v>
      </c>
      <c r="D126" s="2" t="s">
        <v>759</v>
      </c>
      <c r="E126" s="4">
        <v>61.908017170000001</v>
      </c>
      <c r="F126" s="4">
        <v>3.0997679219999998</v>
      </c>
      <c r="G126" s="4">
        <v>37.774422649999998</v>
      </c>
      <c r="H126" s="2" t="s">
        <v>28</v>
      </c>
      <c r="I126" s="4">
        <v>18.216135309999999</v>
      </c>
      <c r="J126" s="4">
        <v>88.055422089999993</v>
      </c>
      <c r="K126" s="5">
        <v>18.774884870000001</v>
      </c>
      <c r="L126" s="3">
        <v>3</v>
      </c>
      <c r="M126" s="2" t="s">
        <v>762</v>
      </c>
      <c r="N126" s="2" t="s">
        <v>18</v>
      </c>
      <c r="O126" s="4">
        <v>32.427088238375951</v>
      </c>
      <c r="P126" s="2" t="str">
        <f t="shared" si="1"/>
        <v>Outstanding</v>
      </c>
    </row>
    <row r="127" spans="1:16" ht="20.100000000000001" customHeight="1" x14ac:dyDescent="0.3">
      <c r="A127" s="2" t="s">
        <v>675</v>
      </c>
      <c r="B127" s="2" t="s">
        <v>768</v>
      </c>
      <c r="C127" s="3">
        <v>100</v>
      </c>
      <c r="D127" s="2" t="s">
        <v>759</v>
      </c>
      <c r="E127" s="4">
        <v>35.017606520000001</v>
      </c>
      <c r="F127" s="4">
        <v>2.848815611</v>
      </c>
      <c r="G127" s="4">
        <v>12.54074293</v>
      </c>
      <c r="H127" s="2" t="s">
        <v>28</v>
      </c>
      <c r="I127" s="4">
        <v>19.069365300000001</v>
      </c>
      <c r="J127" s="4">
        <v>77.586916509999995</v>
      </c>
      <c r="K127" s="5">
        <v>10.204876260000001</v>
      </c>
      <c r="L127" s="3">
        <v>3</v>
      </c>
      <c r="M127" s="2" t="s">
        <v>762</v>
      </c>
      <c r="N127" s="2" t="s">
        <v>21</v>
      </c>
      <c r="O127" s="4">
        <v>20.491445827857298</v>
      </c>
      <c r="P127" s="2" t="str">
        <f t="shared" si="1"/>
        <v>Outstanding</v>
      </c>
    </row>
    <row r="128" spans="1:16" ht="20.100000000000001" customHeight="1" x14ac:dyDescent="0.3">
      <c r="A128" s="2" t="s">
        <v>29</v>
      </c>
      <c r="B128" s="2" t="s">
        <v>771</v>
      </c>
      <c r="C128" s="3">
        <v>85</v>
      </c>
      <c r="D128" s="2" t="s">
        <v>761</v>
      </c>
      <c r="E128" s="4">
        <v>22.56492948</v>
      </c>
      <c r="F128" s="4">
        <v>2.0578886220000001</v>
      </c>
      <c r="G128" s="4">
        <v>4.4648226290000004</v>
      </c>
      <c r="H128" s="2" t="s">
        <v>14</v>
      </c>
      <c r="I128" s="4">
        <v>14.618902370000001</v>
      </c>
      <c r="J128" s="4">
        <v>85.857494149999994</v>
      </c>
      <c r="K128" s="5">
        <v>34.262611270000001</v>
      </c>
      <c r="L128" s="3">
        <v>0</v>
      </c>
      <c r="M128" s="2" t="s">
        <v>764</v>
      </c>
      <c r="N128" s="2" t="s">
        <v>21</v>
      </c>
      <c r="O128" s="4">
        <v>13.663697298046763</v>
      </c>
      <c r="P128" s="2" t="str">
        <f t="shared" si="1"/>
        <v>Superior</v>
      </c>
    </row>
    <row r="129" spans="1:16" ht="20.100000000000001" customHeight="1" x14ac:dyDescent="0.3">
      <c r="A129" s="2" t="s">
        <v>676</v>
      </c>
      <c r="B129" s="2" t="s">
        <v>22</v>
      </c>
      <c r="C129" s="3">
        <v>50</v>
      </c>
      <c r="D129" s="2" t="s">
        <v>759</v>
      </c>
      <c r="E129" s="4">
        <v>14.80448874</v>
      </c>
      <c r="F129" s="4">
        <v>2.6140629880000001</v>
      </c>
      <c r="G129" s="4">
        <v>27.499247530000002</v>
      </c>
      <c r="H129" s="2" t="s">
        <v>17</v>
      </c>
      <c r="I129" s="4">
        <v>19.598024649999999</v>
      </c>
      <c r="J129" s="4">
        <v>82.033538410000006</v>
      </c>
      <c r="K129" s="5">
        <v>27.222157809999999</v>
      </c>
      <c r="L129" s="3">
        <v>3</v>
      </c>
      <c r="M129" s="2" t="s">
        <v>764</v>
      </c>
      <c r="N129" s="2" t="s">
        <v>18</v>
      </c>
      <c r="O129" s="4">
        <v>4.6216293021801764</v>
      </c>
      <c r="P129" s="2" t="str">
        <f t="shared" si="1"/>
        <v>Acceptable</v>
      </c>
    </row>
    <row r="130" spans="1:16" ht="20.100000000000001" customHeight="1" x14ac:dyDescent="0.3">
      <c r="A130" s="2" t="s">
        <v>677</v>
      </c>
      <c r="B130" s="2" t="s">
        <v>22</v>
      </c>
      <c r="C130" s="3">
        <v>75</v>
      </c>
      <c r="D130" s="2" t="s">
        <v>760</v>
      </c>
      <c r="E130" s="4">
        <v>65.102918740000007</v>
      </c>
      <c r="F130" s="4">
        <v>1.020825259</v>
      </c>
      <c r="G130" s="4">
        <v>47.439752149999997</v>
      </c>
      <c r="H130" s="2" t="s">
        <v>24</v>
      </c>
      <c r="I130" s="4">
        <v>17.253972050000002</v>
      </c>
      <c r="J130" s="4">
        <v>99.671797569999995</v>
      </c>
      <c r="K130" s="5">
        <v>10.92631183</v>
      </c>
      <c r="L130" s="3">
        <v>4</v>
      </c>
      <c r="M130" s="2" t="s">
        <v>762</v>
      </c>
      <c r="N130" s="2" t="s">
        <v>15</v>
      </c>
      <c r="O130" s="4">
        <v>40.242307481670444</v>
      </c>
      <c r="P130" s="2" t="str">
        <f t="shared" si="1"/>
        <v>Outstanding</v>
      </c>
    </row>
    <row r="131" spans="1:16" ht="20.100000000000001" customHeight="1" x14ac:dyDescent="0.3">
      <c r="A131" s="2" t="s">
        <v>678</v>
      </c>
      <c r="B131" s="2" t="s">
        <v>768</v>
      </c>
      <c r="C131" s="3">
        <v>75</v>
      </c>
      <c r="D131" s="2" t="s">
        <v>760</v>
      </c>
      <c r="E131" s="4">
        <v>18.120951030000001</v>
      </c>
      <c r="F131" s="4">
        <v>3.405813277</v>
      </c>
      <c r="G131" s="4">
        <v>35.164034360000002</v>
      </c>
      <c r="H131" s="2" t="s">
        <v>28</v>
      </c>
      <c r="I131" s="4">
        <v>41.081555229999999</v>
      </c>
      <c r="J131" s="4">
        <v>146.75945139999999</v>
      </c>
      <c r="K131" s="5">
        <v>4.5996328279999998</v>
      </c>
      <c r="L131" s="3">
        <v>7</v>
      </c>
      <c r="M131" s="2" t="s">
        <v>762</v>
      </c>
      <c r="N131" s="2" t="s">
        <v>18</v>
      </c>
      <c r="O131" s="4">
        <v>14.362379860874961</v>
      </c>
      <c r="P131" s="2" t="str">
        <f t="shared" ref="P131:P194" si="2">IF(O131 &lt; 3, "Low", IF(O131 &lt; 10, "Acceptable", IF(O131 &lt; 20, "Superior", "Outstanding")))</f>
        <v>Superior</v>
      </c>
    </row>
    <row r="132" spans="1:16" ht="20.100000000000001" customHeight="1" x14ac:dyDescent="0.3">
      <c r="A132" s="2" t="s">
        <v>679</v>
      </c>
      <c r="B132" s="2" t="s">
        <v>769</v>
      </c>
      <c r="C132" s="3">
        <v>100</v>
      </c>
      <c r="D132" s="2" t="s">
        <v>757</v>
      </c>
      <c r="E132" s="4">
        <v>45.858999050000001</v>
      </c>
      <c r="F132" s="4">
        <v>1.3093292809999999</v>
      </c>
      <c r="G132" s="4">
        <v>47.503737970000003</v>
      </c>
      <c r="H132" s="2" t="s">
        <v>28</v>
      </c>
      <c r="I132" s="4">
        <v>26.447257319999999</v>
      </c>
      <c r="J132" s="4">
        <v>50.88290885</v>
      </c>
      <c r="K132" s="5">
        <v>7.1597033730000001</v>
      </c>
      <c r="L132" s="3">
        <v>4</v>
      </c>
      <c r="M132" s="2" t="s">
        <v>763</v>
      </c>
      <c r="N132" s="2" t="s">
        <v>21</v>
      </c>
      <c r="O132" s="4">
        <v>11.205945203004012</v>
      </c>
      <c r="P132" s="2" t="str">
        <f t="shared" si="2"/>
        <v>Superior</v>
      </c>
    </row>
    <row r="133" spans="1:16" ht="20.100000000000001" customHeight="1" x14ac:dyDescent="0.3">
      <c r="A133" s="2" t="s">
        <v>680</v>
      </c>
      <c r="B133" s="2" t="s">
        <v>769</v>
      </c>
      <c r="C133" s="3">
        <v>75</v>
      </c>
      <c r="D133" s="2" t="s">
        <v>757</v>
      </c>
      <c r="E133" s="4">
        <v>21.0535794</v>
      </c>
      <c r="F133" s="4">
        <v>1.4617679830000001</v>
      </c>
      <c r="G133" s="4">
        <v>6.3060660009999996</v>
      </c>
      <c r="H133" s="2" t="s">
        <v>24</v>
      </c>
      <c r="I133" s="4">
        <v>50.709819230000001</v>
      </c>
      <c r="J133" s="4">
        <v>64.136523499999996</v>
      </c>
      <c r="K133" s="5">
        <v>26.193341440000001</v>
      </c>
      <c r="L133" s="3">
        <v>5</v>
      </c>
      <c r="M133" s="2" t="s">
        <v>764</v>
      </c>
      <c r="N133" s="2" t="s">
        <v>21</v>
      </c>
      <c r="O133" s="4">
        <v>2.1201013832157294</v>
      </c>
      <c r="P133" s="2" t="str">
        <f t="shared" si="2"/>
        <v>Low</v>
      </c>
    </row>
    <row r="134" spans="1:16" ht="20.100000000000001" customHeight="1" x14ac:dyDescent="0.3">
      <c r="A134" s="2" t="s">
        <v>681</v>
      </c>
      <c r="B134" s="2" t="s">
        <v>768</v>
      </c>
      <c r="C134" s="3">
        <v>86.166488470000004</v>
      </c>
      <c r="D134" s="2" t="s">
        <v>761</v>
      </c>
      <c r="E134" s="4">
        <v>41.01292041</v>
      </c>
      <c r="F134" s="4">
        <v>3.0695423069999999</v>
      </c>
      <c r="G134" s="4">
        <v>35.239594289999999</v>
      </c>
      <c r="H134" s="2" t="s">
        <v>17</v>
      </c>
      <c r="I134" s="4">
        <v>56.930676730000002</v>
      </c>
      <c r="J134" s="4">
        <v>79.675049549999997</v>
      </c>
      <c r="K134" s="5">
        <v>31.589057799999999</v>
      </c>
      <c r="L134" s="3">
        <v>2</v>
      </c>
      <c r="M134" s="2" t="s">
        <v>762</v>
      </c>
      <c r="N134" s="2" t="s">
        <v>15</v>
      </c>
      <c r="O134" s="4">
        <v>8.0377233727326978</v>
      </c>
      <c r="P134" s="2" t="str">
        <f t="shared" si="2"/>
        <v>Acceptable</v>
      </c>
    </row>
    <row r="135" spans="1:16" ht="20.100000000000001" customHeight="1" x14ac:dyDescent="0.3">
      <c r="A135" s="2" t="s">
        <v>682</v>
      </c>
      <c r="B135" s="2" t="s">
        <v>771</v>
      </c>
      <c r="C135" s="3">
        <v>100</v>
      </c>
      <c r="D135" s="2" t="s">
        <v>759</v>
      </c>
      <c r="E135" s="4">
        <v>52.28437229</v>
      </c>
      <c r="F135" s="4">
        <v>1.7728069</v>
      </c>
      <c r="G135" s="4">
        <v>23.87673157</v>
      </c>
      <c r="H135" s="2" t="s">
        <v>28</v>
      </c>
      <c r="I135" s="4">
        <v>21.858620179999999</v>
      </c>
      <c r="J135" s="4">
        <v>79.264628830000007</v>
      </c>
      <c r="K135" s="5">
        <v>6.3855609769999999</v>
      </c>
      <c r="L135" s="3">
        <v>6</v>
      </c>
      <c r="M135" s="2" t="s">
        <v>764</v>
      </c>
      <c r="N135" s="2" t="s">
        <v>21</v>
      </c>
      <c r="O135" s="4">
        <v>30.014371279395604</v>
      </c>
      <c r="P135" s="2" t="str">
        <f t="shared" si="2"/>
        <v>Outstanding</v>
      </c>
    </row>
    <row r="136" spans="1:16" ht="20.100000000000001" customHeight="1" x14ac:dyDescent="0.3">
      <c r="A136" s="2" t="s">
        <v>683</v>
      </c>
      <c r="B136" s="2" t="s">
        <v>771</v>
      </c>
      <c r="C136" s="3">
        <v>75</v>
      </c>
      <c r="D136" s="2" t="s">
        <v>758</v>
      </c>
      <c r="E136" s="4">
        <v>77.632345689999994</v>
      </c>
      <c r="F136" s="4">
        <v>3.3068740179999998</v>
      </c>
      <c r="G136" s="4">
        <v>11.179014560000001</v>
      </c>
      <c r="H136" s="2" t="s">
        <v>14</v>
      </c>
      <c r="I136" s="4">
        <v>54.643859300000003</v>
      </c>
      <c r="J136" s="4">
        <v>58.018184779999999</v>
      </c>
      <c r="K136" s="5">
        <v>2.2110839499999999</v>
      </c>
      <c r="L136" s="3">
        <v>2</v>
      </c>
      <c r="M136" s="2" t="s">
        <v>764</v>
      </c>
      <c r="N136" s="2" t="s">
        <v>15</v>
      </c>
      <c r="O136" s="4">
        <v>1.9646760160045114</v>
      </c>
      <c r="P136" s="2" t="str">
        <f t="shared" si="2"/>
        <v>Low</v>
      </c>
    </row>
    <row r="137" spans="1:16" ht="20.100000000000001" customHeight="1" x14ac:dyDescent="0.3">
      <c r="A137" s="2" t="s">
        <v>684</v>
      </c>
      <c r="B137" s="2" t="s">
        <v>22</v>
      </c>
      <c r="C137" s="3">
        <v>50</v>
      </c>
      <c r="D137" s="2" t="s">
        <v>757</v>
      </c>
      <c r="E137" s="4">
        <v>14.1753932</v>
      </c>
      <c r="F137" s="4">
        <v>2.2061443289999998</v>
      </c>
      <c r="G137" s="4">
        <v>21.857389619999999</v>
      </c>
      <c r="H137" s="2" t="s">
        <v>28</v>
      </c>
      <c r="I137" s="4">
        <v>18.13937752</v>
      </c>
      <c r="J137" s="4">
        <v>64.344094889999994</v>
      </c>
      <c r="K137" s="5">
        <v>8.0139996179999997</v>
      </c>
      <c r="L137" s="3">
        <v>7</v>
      </c>
      <c r="M137" s="2" t="s">
        <v>762</v>
      </c>
      <c r="N137" s="2" t="s">
        <v>21</v>
      </c>
      <c r="O137" s="4">
        <v>3.2748501820730991</v>
      </c>
      <c r="P137" s="2" t="str">
        <f t="shared" si="2"/>
        <v>Acceptable</v>
      </c>
    </row>
    <row r="138" spans="1:16" ht="20.100000000000001" customHeight="1" x14ac:dyDescent="0.3">
      <c r="A138" s="2" t="s">
        <v>685</v>
      </c>
      <c r="B138" s="2" t="s">
        <v>769</v>
      </c>
      <c r="C138" s="3">
        <v>62</v>
      </c>
      <c r="D138" s="2" t="s">
        <v>761</v>
      </c>
      <c r="E138" s="4">
        <v>28.337522360000001</v>
      </c>
      <c r="F138" s="4">
        <v>2.2607468719999999</v>
      </c>
      <c r="G138" s="4">
        <v>36.28607873</v>
      </c>
      <c r="H138" s="2" t="s">
        <v>28</v>
      </c>
      <c r="I138" s="4">
        <v>25.450179510000002</v>
      </c>
      <c r="J138" s="4">
        <v>95.748064099999993</v>
      </c>
      <c r="K138" s="5">
        <v>15.72506388</v>
      </c>
      <c r="L138" s="3">
        <v>7</v>
      </c>
      <c r="M138" s="2" t="s">
        <v>764</v>
      </c>
      <c r="N138" s="2" t="s">
        <v>18</v>
      </c>
      <c r="O138" s="4">
        <v>12.350820833864912</v>
      </c>
      <c r="P138" s="2" t="str">
        <f t="shared" si="2"/>
        <v>Superior</v>
      </c>
    </row>
    <row r="139" spans="1:16" ht="20.100000000000001" customHeight="1" x14ac:dyDescent="0.3">
      <c r="A139" s="2" t="s">
        <v>686</v>
      </c>
      <c r="B139" s="2" t="s">
        <v>22</v>
      </c>
      <c r="C139" s="3">
        <v>75</v>
      </c>
      <c r="D139" s="2" t="s">
        <v>761</v>
      </c>
      <c r="E139" s="4">
        <v>45.451115360000003</v>
      </c>
      <c r="F139" s="4">
        <v>1.1310299989999999</v>
      </c>
      <c r="G139" s="4">
        <v>12.817069910000001</v>
      </c>
      <c r="H139" s="2" t="s">
        <v>28</v>
      </c>
      <c r="I139" s="4">
        <v>59.313025609999997</v>
      </c>
      <c r="J139" s="4">
        <v>59.871478740000001</v>
      </c>
      <c r="K139" s="5">
        <v>37.731309000000003</v>
      </c>
      <c r="L139" s="3">
        <v>0</v>
      </c>
      <c r="M139" s="2" t="s">
        <v>763</v>
      </c>
      <c r="N139" s="2" t="s">
        <v>21</v>
      </c>
      <c r="O139" s="4">
        <v>0.19036738226087435</v>
      </c>
      <c r="P139" s="2" t="str">
        <f t="shared" si="2"/>
        <v>Low</v>
      </c>
    </row>
    <row r="140" spans="1:16" ht="20.100000000000001" customHeight="1" x14ac:dyDescent="0.3">
      <c r="A140" s="2" t="s">
        <v>687</v>
      </c>
      <c r="B140" s="2" t="s">
        <v>771</v>
      </c>
      <c r="C140" s="3">
        <v>50</v>
      </c>
      <c r="D140" s="2" t="s">
        <v>761</v>
      </c>
      <c r="E140" s="4">
        <v>8.6412820410000002</v>
      </c>
      <c r="F140" s="4">
        <v>2.4946629379999998</v>
      </c>
      <c r="G140" s="4">
        <v>19.669670790000001</v>
      </c>
      <c r="H140" s="2" t="s">
        <v>28</v>
      </c>
      <c r="I140" s="4">
        <v>13.248417760000001</v>
      </c>
      <c r="J140" s="4">
        <v>85.291838690000006</v>
      </c>
      <c r="K140" s="5">
        <v>0.87416465700000001</v>
      </c>
      <c r="L140" s="3">
        <v>4</v>
      </c>
      <c r="M140" s="2" t="s">
        <v>764</v>
      </c>
      <c r="N140" s="2" t="s">
        <v>21</v>
      </c>
      <c r="O140" s="4">
        <v>3.1127375972730631</v>
      </c>
      <c r="P140" s="2" t="str">
        <f t="shared" si="2"/>
        <v>Acceptable</v>
      </c>
    </row>
    <row r="141" spans="1:16" ht="20.100000000000001" customHeight="1" x14ac:dyDescent="0.3">
      <c r="A141" s="2" t="s">
        <v>688</v>
      </c>
      <c r="B141" s="2" t="s">
        <v>770</v>
      </c>
      <c r="C141" s="3">
        <v>64.925382619999993</v>
      </c>
      <c r="D141" s="2" t="s">
        <v>759</v>
      </c>
      <c r="E141" s="4">
        <v>77.266219950000007</v>
      </c>
      <c r="F141" s="4">
        <v>3.498121979</v>
      </c>
      <c r="G141" s="4">
        <v>28.926485020000001</v>
      </c>
      <c r="H141" s="2" t="s">
        <v>17</v>
      </c>
      <c r="I141" s="4">
        <v>34.592327969999999</v>
      </c>
      <c r="J141" s="4">
        <v>92.205410499999999</v>
      </c>
      <c r="K141" s="5">
        <v>11.9953729</v>
      </c>
      <c r="L141" s="3">
        <v>3</v>
      </c>
      <c r="M141" s="2" t="s">
        <v>763</v>
      </c>
      <c r="N141" s="2" t="s">
        <v>15</v>
      </c>
      <c r="O141" s="4">
        <v>28.901826930661308</v>
      </c>
      <c r="P141" s="2" t="str">
        <f t="shared" si="2"/>
        <v>Outstanding</v>
      </c>
    </row>
    <row r="142" spans="1:16" ht="20.100000000000001" customHeight="1" x14ac:dyDescent="0.3">
      <c r="A142" s="2" t="s">
        <v>689</v>
      </c>
      <c r="B142" s="2" t="s">
        <v>771</v>
      </c>
      <c r="C142" s="3">
        <v>100</v>
      </c>
      <c r="D142" s="2" t="s">
        <v>757</v>
      </c>
      <c r="E142" s="4">
        <v>5.9951405649999998</v>
      </c>
      <c r="F142" s="4">
        <v>3.9769703839999999</v>
      </c>
      <c r="G142" s="4">
        <v>34.953901770000002</v>
      </c>
      <c r="H142" s="2" t="s">
        <v>14</v>
      </c>
      <c r="I142" s="4">
        <v>36.398050269999999</v>
      </c>
      <c r="J142" s="4">
        <v>62.029398280000002</v>
      </c>
      <c r="K142" s="5">
        <v>22.975563619999999</v>
      </c>
      <c r="L142" s="3">
        <v>5</v>
      </c>
      <c r="M142" s="2" t="s">
        <v>764</v>
      </c>
      <c r="N142" s="2" t="s">
        <v>15</v>
      </c>
      <c r="O142" s="4">
        <v>1.5366353419038306</v>
      </c>
      <c r="P142" s="2" t="str">
        <f t="shared" si="2"/>
        <v>Low</v>
      </c>
    </row>
    <row r="143" spans="1:16" ht="20.100000000000001" customHeight="1" x14ac:dyDescent="0.3">
      <c r="A143" s="2" t="s">
        <v>690</v>
      </c>
      <c r="B143" s="2" t="s">
        <v>769</v>
      </c>
      <c r="C143" s="3">
        <v>54.032236269999999</v>
      </c>
      <c r="D143" s="2" t="s">
        <v>758</v>
      </c>
      <c r="E143" s="4">
        <v>21.270741910000002</v>
      </c>
      <c r="F143" s="4">
        <v>3.3423560490000002</v>
      </c>
      <c r="G143" s="4">
        <v>40.176850770000001</v>
      </c>
      <c r="H143" s="2" t="s">
        <v>17</v>
      </c>
      <c r="I143" s="4">
        <v>23.971109179999999</v>
      </c>
      <c r="J143" s="4">
        <v>90.943025809999995</v>
      </c>
      <c r="K143" s="5">
        <v>31.346857589999999</v>
      </c>
      <c r="L143" s="3">
        <v>6</v>
      </c>
      <c r="M143" s="2" t="s">
        <v>764</v>
      </c>
      <c r="N143" s="2" t="s">
        <v>15</v>
      </c>
      <c r="O143" s="4">
        <v>7.6971209040102702</v>
      </c>
      <c r="P143" s="2" t="str">
        <f t="shared" si="2"/>
        <v>Acceptable</v>
      </c>
    </row>
    <row r="144" spans="1:16" ht="20.100000000000001" customHeight="1" x14ac:dyDescent="0.3">
      <c r="A144" s="2" t="s">
        <v>691</v>
      </c>
      <c r="B144" s="2" t="s">
        <v>771</v>
      </c>
      <c r="C144" s="3">
        <v>62</v>
      </c>
      <c r="D144" s="2" t="s">
        <v>760</v>
      </c>
      <c r="E144" s="4">
        <v>38.138606539999998</v>
      </c>
      <c r="F144" s="4">
        <v>0.948056228</v>
      </c>
      <c r="G144" s="4">
        <v>42.516688760000001</v>
      </c>
      <c r="H144" s="2" t="s">
        <v>14</v>
      </c>
      <c r="I144" s="4">
        <v>79.209664340000003</v>
      </c>
      <c r="J144" s="4">
        <v>147.4921301</v>
      </c>
      <c r="K144" s="5">
        <v>39.707429480000002</v>
      </c>
      <c r="L144" s="3">
        <v>7</v>
      </c>
      <c r="M144" s="2" t="s">
        <v>762</v>
      </c>
      <c r="N144" s="2" t="s">
        <v>18</v>
      </c>
      <c r="O144" s="4">
        <v>16.146028190250298</v>
      </c>
      <c r="P144" s="2" t="str">
        <f t="shared" si="2"/>
        <v>Superior</v>
      </c>
    </row>
    <row r="145" spans="1:16" ht="20.100000000000001" customHeight="1" x14ac:dyDescent="0.3">
      <c r="A145" s="2" t="s">
        <v>692</v>
      </c>
      <c r="B145" s="2" t="s">
        <v>770</v>
      </c>
      <c r="C145" s="3">
        <v>50</v>
      </c>
      <c r="D145" s="2" t="s">
        <v>758</v>
      </c>
      <c r="E145" s="4">
        <v>12.893142360000001</v>
      </c>
      <c r="F145" s="4">
        <v>2.1412999519999998</v>
      </c>
      <c r="G145" s="4">
        <v>17.34136646</v>
      </c>
      <c r="H145" s="2" t="s">
        <v>17</v>
      </c>
      <c r="I145" s="4">
        <v>78.392871229999997</v>
      </c>
      <c r="J145" s="4">
        <v>78.815907490000001</v>
      </c>
      <c r="K145" s="5">
        <v>20.055112430000001</v>
      </c>
      <c r="L145" s="3">
        <v>0</v>
      </c>
      <c r="M145" s="2" t="s">
        <v>763</v>
      </c>
      <c r="N145" s="2" t="s">
        <v>18</v>
      </c>
      <c r="O145" s="4">
        <v>2.7271333618110089E-2</v>
      </c>
      <c r="P145" s="2" t="str">
        <f t="shared" si="2"/>
        <v>Low</v>
      </c>
    </row>
    <row r="146" spans="1:16" ht="20.100000000000001" customHeight="1" x14ac:dyDescent="0.3">
      <c r="A146" s="2" t="s">
        <v>693</v>
      </c>
      <c r="B146" s="2" t="s">
        <v>770</v>
      </c>
      <c r="C146" s="3">
        <v>100</v>
      </c>
      <c r="D146" s="2" t="s">
        <v>761</v>
      </c>
      <c r="E146" s="4">
        <v>77.698790250000002</v>
      </c>
      <c r="F146" s="4">
        <v>1.224897157</v>
      </c>
      <c r="G146" s="4">
        <v>26.423781940000001</v>
      </c>
      <c r="H146" s="2" t="s">
        <v>14</v>
      </c>
      <c r="I146" s="4">
        <v>52.498644880000001</v>
      </c>
      <c r="J146" s="4">
        <v>66.179190660000003</v>
      </c>
      <c r="K146" s="5">
        <v>36.642490039999998</v>
      </c>
      <c r="L146" s="3">
        <v>5</v>
      </c>
      <c r="M146" s="2" t="s">
        <v>763</v>
      </c>
      <c r="N146" s="2" t="s">
        <v>21</v>
      </c>
      <c r="O146" s="4">
        <v>10.629618570657428</v>
      </c>
      <c r="P146" s="2" t="str">
        <f t="shared" si="2"/>
        <v>Superior</v>
      </c>
    </row>
    <row r="147" spans="1:16" ht="20.100000000000001" customHeight="1" x14ac:dyDescent="0.3">
      <c r="A147" s="2" t="s">
        <v>694</v>
      </c>
      <c r="B147" s="2" t="s">
        <v>770</v>
      </c>
      <c r="C147" s="3">
        <v>85</v>
      </c>
      <c r="D147" s="2" t="s">
        <v>761</v>
      </c>
      <c r="E147" s="4">
        <v>94.365329410000001</v>
      </c>
      <c r="F147" s="4">
        <v>2.2434218069999998</v>
      </c>
      <c r="G147" s="4">
        <v>31.654115999999998</v>
      </c>
      <c r="H147" s="2" t="s">
        <v>28</v>
      </c>
      <c r="I147" s="4">
        <v>43.879008939999999</v>
      </c>
      <c r="J147" s="4">
        <v>62.259321460000002</v>
      </c>
      <c r="K147" s="5">
        <v>19.119130640000002</v>
      </c>
      <c r="L147" s="3">
        <v>7</v>
      </c>
      <c r="M147" s="2" t="s">
        <v>763</v>
      </c>
      <c r="N147" s="2" t="s">
        <v>21</v>
      </c>
      <c r="O147" s="4">
        <v>14.742946087672653</v>
      </c>
      <c r="P147" s="2" t="str">
        <f t="shared" si="2"/>
        <v>Superior</v>
      </c>
    </row>
    <row r="148" spans="1:16" ht="20.100000000000001" customHeight="1" x14ac:dyDescent="0.3">
      <c r="A148" s="2" t="s">
        <v>82</v>
      </c>
      <c r="B148" s="2" t="s">
        <v>771</v>
      </c>
      <c r="C148" s="3">
        <v>50</v>
      </c>
      <c r="D148" s="2" t="s">
        <v>757</v>
      </c>
      <c r="E148" s="4">
        <v>7.5159403559999998</v>
      </c>
      <c r="F148" s="4">
        <v>3.416869599</v>
      </c>
      <c r="G148" s="4">
        <v>10.621385890000001</v>
      </c>
      <c r="H148" s="2" t="s">
        <v>28</v>
      </c>
      <c r="I148" s="4">
        <v>61.762801969999998</v>
      </c>
      <c r="J148" s="4">
        <v>83.207801470000007</v>
      </c>
      <c r="K148" s="5">
        <v>9.7912426809999999</v>
      </c>
      <c r="L148" s="3">
        <v>6</v>
      </c>
      <c r="M148" s="2" t="s">
        <v>762</v>
      </c>
      <c r="N148" s="2" t="s">
        <v>18</v>
      </c>
      <c r="O148" s="4">
        <v>0.80589668588224939</v>
      </c>
      <c r="P148" s="2" t="str">
        <f t="shared" si="2"/>
        <v>Low</v>
      </c>
    </row>
    <row r="149" spans="1:16" ht="20.100000000000001" customHeight="1" x14ac:dyDescent="0.3">
      <c r="A149" s="2" t="s">
        <v>695</v>
      </c>
      <c r="B149" s="2" t="s">
        <v>770</v>
      </c>
      <c r="C149" s="3">
        <v>62</v>
      </c>
      <c r="D149" s="2" t="s">
        <v>759</v>
      </c>
      <c r="E149" s="4">
        <v>43.958226320000001</v>
      </c>
      <c r="F149" s="4">
        <v>1.767862582</v>
      </c>
      <c r="G149" s="4">
        <v>36.002754170000003</v>
      </c>
      <c r="H149" s="2" t="s">
        <v>24</v>
      </c>
      <c r="I149" s="4">
        <v>60.904865239999999</v>
      </c>
      <c r="J149" s="4">
        <v>81.093565139999995</v>
      </c>
      <c r="K149" s="5">
        <v>3.9158330210000001</v>
      </c>
      <c r="L149" s="3">
        <v>4</v>
      </c>
      <c r="M149" s="2" t="s">
        <v>764</v>
      </c>
      <c r="N149" s="2" t="s">
        <v>21</v>
      </c>
      <c r="O149" s="4">
        <v>5.5022485237267196</v>
      </c>
      <c r="P149" s="2" t="str">
        <f t="shared" si="2"/>
        <v>Acceptable</v>
      </c>
    </row>
    <row r="150" spans="1:16" ht="20.100000000000001" customHeight="1" x14ac:dyDescent="0.3">
      <c r="A150" s="2" t="s">
        <v>696</v>
      </c>
      <c r="B150" s="2" t="s">
        <v>770</v>
      </c>
      <c r="C150" s="3">
        <v>85</v>
      </c>
      <c r="D150" s="2" t="s">
        <v>757</v>
      </c>
      <c r="E150" s="4">
        <v>76.480744200000004</v>
      </c>
      <c r="F150" s="4">
        <v>1.912724342</v>
      </c>
      <c r="G150" s="4">
        <v>42.366246629999999</v>
      </c>
      <c r="H150" s="2" t="s">
        <v>17</v>
      </c>
      <c r="I150" s="4">
        <v>27.9459135</v>
      </c>
      <c r="J150" s="4">
        <v>85.8155237</v>
      </c>
      <c r="K150" s="5">
        <v>5.6521131039999997</v>
      </c>
      <c r="L150" s="3">
        <v>3</v>
      </c>
      <c r="M150" s="2" t="s">
        <v>764</v>
      </c>
      <c r="N150" s="2" t="s">
        <v>21</v>
      </c>
      <c r="O150" s="4">
        <v>37.620242264609246</v>
      </c>
      <c r="P150" s="2" t="str">
        <f t="shared" si="2"/>
        <v>Outstanding</v>
      </c>
    </row>
    <row r="151" spans="1:16" ht="20.100000000000001" customHeight="1" x14ac:dyDescent="0.3">
      <c r="A151" s="2" t="s">
        <v>697</v>
      </c>
      <c r="B151" s="2" t="s">
        <v>769</v>
      </c>
      <c r="C151" s="3">
        <v>78.511077760000006</v>
      </c>
      <c r="D151" s="2" t="s">
        <v>761</v>
      </c>
      <c r="E151" s="4">
        <v>66.178195250000002</v>
      </c>
      <c r="F151" s="4">
        <v>3.2649354229999998</v>
      </c>
      <c r="G151" s="4">
        <v>5.9231767800000004</v>
      </c>
      <c r="H151" s="2" t="s">
        <v>28</v>
      </c>
      <c r="I151" s="4">
        <v>40.621732440000002</v>
      </c>
      <c r="J151" s="4">
        <v>54.00886612</v>
      </c>
      <c r="K151" s="5">
        <v>2.241616906</v>
      </c>
      <c r="L151" s="3">
        <v>3</v>
      </c>
      <c r="M151" s="2" t="s">
        <v>764</v>
      </c>
      <c r="N151" s="2" t="s">
        <v>15</v>
      </c>
      <c r="O151" s="4">
        <v>6.9555817391483892</v>
      </c>
      <c r="P151" s="2" t="str">
        <f t="shared" si="2"/>
        <v>Acceptable</v>
      </c>
    </row>
    <row r="152" spans="1:16" ht="20.100000000000001" customHeight="1" x14ac:dyDescent="0.3">
      <c r="A152" s="2" t="s">
        <v>698</v>
      </c>
      <c r="B152" s="2" t="s">
        <v>771</v>
      </c>
      <c r="C152" s="3">
        <v>50</v>
      </c>
      <c r="D152" s="2" t="s">
        <v>758</v>
      </c>
      <c r="E152" s="4">
        <v>43.126038119999997</v>
      </c>
      <c r="F152" s="4">
        <v>2.7653907900000001</v>
      </c>
      <c r="G152" s="4">
        <v>5.766635774</v>
      </c>
      <c r="H152" s="2" t="s">
        <v>17</v>
      </c>
      <c r="I152" s="4">
        <v>69.618708240000004</v>
      </c>
      <c r="J152" s="4">
        <v>77.39673449</v>
      </c>
      <c r="K152" s="5">
        <v>31.057616840000001</v>
      </c>
      <c r="L152" s="3">
        <v>2.1248355029999999</v>
      </c>
      <c r="M152" s="2" t="s">
        <v>763</v>
      </c>
      <c r="N152" s="2" t="s">
        <v>15</v>
      </c>
      <c r="O152" s="4">
        <v>1.6771772827793023</v>
      </c>
      <c r="P152" s="2" t="str">
        <f t="shared" si="2"/>
        <v>Low</v>
      </c>
    </row>
    <row r="153" spans="1:16" ht="20.100000000000001" customHeight="1" x14ac:dyDescent="0.3">
      <c r="A153" s="2" t="s">
        <v>699</v>
      </c>
      <c r="B153" s="2" t="s">
        <v>771</v>
      </c>
      <c r="C153" s="3">
        <v>75</v>
      </c>
      <c r="D153" s="2" t="s">
        <v>759</v>
      </c>
      <c r="E153" s="4">
        <v>60.68153839</v>
      </c>
      <c r="F153" s="4">
        <v>2.2151488210000001</v>
      </c>
      <c r="G153" s="4">
        <v>15.631492189999999</v>
      </c>
      <c r="H153" s="2" t="s">
        <v>24</v>
      </c>
      <c r="I153" s="4">
        <v>52.460956009999997</v>
      </c>
      <c r="J153" s="4">
        <v>69.584656499999994</v>
      </c>
      <c r="K153" s="5">
        <v>15.95499673</v>
      </c>
      <c r="L153" s="3">
        <v>2</v>
      </c>
      <c r="M153" s="2" t="s">
        <v>763</v>
      </c>
      <c r="N153" s="2" t="s">
        <v>15</v>
      </c>
      <c r="O153" s="4">
        <v>7.7931936649709739</v>
      </c>
      <c r="P153" s="2" t="str">
        <f t="shared" si="2"/>
        <v>Acceptable</v>
      </c>
    </row>
    <row r="154" spans="1:16" ht="20.100000000000001" customHeight="1" x14ac:dyDescent="0.3">
      <c r="A154" s="2" t="s">
        <v>700</v>
      </c>
      <c r="B154" s="2" t="s">
        <v>22</v>
      </c>
      <c r="C154" s="3">
        <v>85</v>
      </c>
      <c r="D154" s="2" t="s">
        <v>760</v>
      </c>
      <c r="E154" s="4">
        <v>33.674462339999998</v>
      </c>
      <c r="F154" s="4">
        <v>2.008872706</v>
      </c>
      <c r="G154" s="4">
        <v>24.859551939999999</v>
      </c>
      <c r="H154" s="2" t="s">
        <v>24</v>
      </c>
      <c r="I154" s="4">
        <v>57.202077729999999</v>
      </c>
      <c r="J154" s="4">
        <v>71.725309879999998</v>
      </c>
      <c r="K154" s="5">
        <v>25.426401930000001</v>
      </c>
      <c r="L154" s="3">
        <v>1</v>
      </c>
      <c r="M154" s="2" t="s">
        <v>762</v>
      </c>
      <c r="N154" s="2" t="s">
        <v>18</v>
      </c>
      <c r="O154" s="4">
        <v>4.157027289767143</v>
      </c>
      <c r="P154" s="2" t="str">
        <f t="shared" si="2"/>
        <v>Acceptable</v>
      </c>
    </row>
    <row r="155" spans="1:16" ht="20.100000000000001" customHeight="1" x14ac:dyDescent="0.3">
      <c r="A155" s="2" t="s">
        <v>701</v>
      </c>
      <c r="B155" s="2" t="s">
        <v>769</v>
      </c>
      <c r="C155" s="3">
        <v>100</v>
      </c>
      <c r="D155" s="2" t="s">
        <v>760</v>
      </c>
      <c r="E155" s="4">
        <v>54.548591690000002</v>
      </c>
      <c r="F155" s="4">
        <v>1.6032344650000001</v>
      </c>
      <c r="G155" s="4">
        <v>19.10287022</v>
      </c>
      <c r="H155" s="2" t="s">
        <v>24</v>
      </c>
      <c r="I155" s="4">
        <v>65.651328629999995</v>
      </c>
      <c r="J155" s="4">
        <v>86.256685590000004</v>
      </c>
      <c r="K155" s="5">
        <v>26.229535909999999</v>
      </c>
      <c r="L155" s="3">
        <v>3</v>
      </c>
      <c r="M155" s="2" t="s">
        <v>764</v>
      </c>
      <c r="N155" s="2" t="s">
        <v>15</v>
      </c>
      <c r="O155" s="4">
        <v>11.239932034377402</v>
      </c>
      <c r="P155" s="2" t="str">
        <f t="shared" si="2"/>
        <v>Superior</v>
      </c>
    </row>
    <row r="156" spans="1:16" ht="20.100000000000001" customHeight="1" x14ac:dyDescent="0.3">
      <c r="A156" s="2" t="s">
        <v>83</v>
      </c>
      <c r="B156" s="2" t="s">
        <v>770</v>
      </c>
      <c r="C156" s="3">
        <v>75</v>
      </c>
      <c r="D156" s="2" t="s">
        <v>758</v>
      </c>
      <c r="E156" s="4">
        <v>64.419049290000004</v>
      </c>
      <c r="F156" s="4">
        <v>3.1900131030000001</v>
      </c>
      <c r="G156" s="4">
        <v>24.621651180000001</v>
      </c>
      <c r="H156" s="2" t="s">
        <v>14</v>
      </c>
      <c r="I156" s="4">
        <v>49.173845239999999</v>
      </c>
      <c r="J156" s="4">
        <v>62.341860349999997</v>
      </c>
      <c r="K156" s="5">
        <v>25.320475699999999</v>
      </c>
      <c r="L156" s="3">
        <v>2</v>
      </c>
      <c r="M156" s="2" t="s">
        <v>762</v>
      </c>
      <c r="N156" s="2" t="s">
        <v>21</v>
      </c>
      <c r="O156" s="4">
        <v>6.3620326081691596</v>
      </c>
      <c r="P156" s="2" t="str">
        <f t="shared" si="2"/>
        <v>Acceptable</v>
      </c>
    </row>
    <row r="157" spans="1:16" ht="20.100000000000001" customHeight="1" x14ac:dyDescent="0.3">
      <c r="A157" s="2" t="s">
        <v>702</v>
      </c>
      <c r="B157" s="2" t="s">
        <v>768</v>
      </c>
      <c r="C157" s="3">
        <v>62</v>
      </c>
      <c r="D157" s="2" t="s">
        <v>757</v>
      </c>
      <c r="E157" s="4">
        <v>14.11630705</v>
      </c>
      <c r="F157" s="4">
        <v>0.94000217699999999</v>
      </c>
      <c r="G157" s="4">
        <v>21.383146369999999</v>
      </c>
      <c r="H157" s="2" t="s">
        <v>24</v>
      </c>
      <c r="I157" s="4">
        <v>27.57103931</v>
      </c>
      <c r="J157" s="4">
        <v>60.910861779999998</v>
      </c>
      <c r="K157" s="5">
        <v>0.66934563599999997</v>
      </c>
      <c r="L157" s="3">
        <v>5</v>
      </c>
      <c r="M157" s="2" t="s">
        <v>763</v>
      </c>
      <c r="N157" s="2" t="s">
        <v>15</v>
      </c>
      <c r="O157" s="4">
        <v>2.9179380600698583</v>
      </c>
      <c r="P157" s="2" t="str">
        <f t="shared" si="2"/>
        <v>Low</v>
      </c>
    </row>
    <row r="158" spans="1:16" ht="20.100000000000001" customHeight="1" x14ac:dyDescent="0.3">
      <c r="A158" s="2" t="s">
        <v>703</v>
      </c>
      <c r="B158" s="2" t="s">
        <v>771</v>
      </c>
      <c r="C158" s="3">
        <v>50</v>
      </c>
      <c r="D158" s="2" t="s">
        <v>758</v>
      </c>
      <c r="E158" s="4">
        <v>26.586710220000001</v>
      </c>
      <c r="F158" s="4">
        <v>1.724436589</v>
      </c>
      <c r="G158" s="4">
        <v>24.450763240000001</v>
      </c>
      <c r="H158" s="2" t="s">
        <v>24</v>
      </c>
      <c r="I158" s="4">
        <v>77.975412259999999</v>
      </c>
      <c r="J158" s="4">
        <v>91.452020169999997</v>
      </c>
      <c r="K158" s="5">
        <v>5.3200914619999997</v>
      </c>
      <c r="L158" s="3">
        <v>1</v>
      </c>
      <c r="M158" s="2" t="s">
        <v>762</v>
      </c>
      <c r="N158" s="2" t="s">
        <v>21</v>
      </c>
      <c r="O158" s="4">
        <v>1.7914933462586489</v>
      </c>
      <c r="P158" s="2" t="str">
        <f t="shared" si="2"/>
        <v>Low</v>
      </c>
    </row>
    <row r="159" spans="1:16" ht="20.100000000000001" customHeight="1" x14ac:dyDescent="0.3">
      <c r="A159" s="2" t="s">
        <v>704</v>
      </c>
      <c r="B159" s="2" t="s">
        <v>771</v>
      </c>
      <c r="C159" s="3">
        <v>100</v>
      </c>
      <c r="D159" s="2" t="s">
        <v>759</v>
      </c>
      <c r="E159" s="4">
        <v>20.074649900000001</v>
      </c>
      <c r="F159" s="4">
        <v>2.4691052230000001</v>
      </c>
      <c r="G159" s="4">
        <v>48.073862200000001</v>
      </c>
      <c r="H159" s="2" t="s">
        <v>24</v>
      </c>
      <c r="I159" s="4">
        <v>27.431445140000001</v>
      </c>
      <c r="J159" s="4">
        <v>68.085245279999995</v>
      </c>
      <c r="K159" s="5">
        <v>6.2311445519999999</v>
      </c>
      <c r="L159" s="3">
        <v>0</v>
      </c>
      <c r="M159" s="2" t="s">
        <v>764</v>
      </c>
      <c r="N159" s="2" t="s">
        <v>18</v>
      </c>
      <c r="O159" s="4">
        <v>8.1611080491507089</v>
      </c>
      <c r="P159" s="2" t="str">
        <f t="shared" si="2"/>
        <v>Acceptable</v>
      </c>
    </row>
    <row r="160" spans="1:16" ht="20.100000000000001" customHeight="1" x14ac:dyDescent="0.3">
      <c r="A160" s="2" t="s">
        <v>705</v>
      </c>
      <c r="B160" s="2" t="s">
        <v>768</v>
      </c>
      <c r="C160" s="3">
        <v>75</v>
      </c>
      <c r="D160" s="2" t="s">
        <v>758</v>
      </c>
      <c r="E160" s="4">
        <v>5.8928351640000001</v>
      </c>
      <c r="F160" s="4">
        <v>1.2359897740000001</v>
      </c>
      <c r="G160" s="4">
        <v>40.776826990000004</v>
      </c>
      <c r="H160" s="2" t="s">
        <v>24</v>
      </c>
      <c r="I160" s="4">
        <v>12.90517915</v>
      </c>
      <c r="J160" s="4">
        <v>57.54316927</v>
      </c>
      <c r="K160" s="5">
        <v>16.892296479999999</v>
      </c>
      <c r="L160" s="3">
        <v>1</v>
      </c>
      <c r="M160" s="2" t="s">
        <v>763</v>
      </c>
      <c r="N160" s="2" t="s">
        <v>15</v>
      </c>
      <c r="O160" s="4">
        <v>1.9728323837206545</v>
      </c>
      <c r="P160" s="2" t="str">
        <f t="shared" si="2"/>
        <v>Low</v>
      </c>
    </row>
    <row r="161" spans="1:16" ht="20.100000000000001" customHeight="1" x14ac:dyDescent="0.3">
      <c r="A161" s="2" t="s">
        <v>706</v>
      </c>
      <c r="B161" s="2" t="s">
        <v>771</v>
      </c>
      <c r="C161" s="3">
        <v>75</v>
      </c>
      <c r="D161" s="2" t="s">
        <v>760</v>
      </c>
      <c r="E161" s="4">
        <v>48.524914269999996</v>
      </c>
      <c r="F161" s="4">
        <v>3.001670866</v>
      </c>
      <c r="G161" s="4">
        <v>6.0234792390000003</v>
      </c>
      <c r="H161" s="2" t="s">
        <v>17</v>
      </c>
      <c r="I161" s="4">
        <v>53.067247899999998</v>
      </c>
      <c r="J161" s="4">
        <v>90.076231460000002</v>
      </c>
      <c r="K161" s="5">
        <v>37.13153982</v>
      </c>
      <c r="L161" s="3">
        <v>6</v>
      </c>
      <c r="M161" s="2" t="s">
        <v>763</v>
      </c>
      <c r="N161" s="2" t="s">
        <v>15</v>
      </c>
      <c r="O161" s="4">
        <v>13.468933158516297</v>
      </c>
      <c r="P161" s="2" t="str">
        <f t="shared" si="2"/>
        <v>Superior</v>
      </c>
    </row>
    <row r="162" spans="1:16" ht="20.100000000000001" customHeight="1" x14ac:dyDescent="0.3">
      <c r="A162" s="2" t="s">
        <v>707</v>
      </c>
      <c r="B162" s="2" t="s">
        <v>771</v>
      </c>
      <c r="C162" s="3">
        <v>100</v>
      </c>
      <c r="D162" s="2" t="s">
        <v>759</v>
      </c>
      <c r="E162" s="4">
        <v>51.94497776</v>
      </c>
      <c r="F162" s="4">
        <v>2.4615937140000002</v>
      </c>
      <c r="G162" s="4">
        <v>9.1660366369999995</v>
      </c>
      <c r="H162" s="2" t="s">
        <v>17</v>
      </c>
      <c r="I162" s="4">
        <v>61.464013280000003</v>
      </c>
      <c r="J162" s="4">
        <v>96.389604759999997</v>
      </c>
      <c r="K162" s="5">
        <v>14.483399479999999</v>
      </c>
      <c r="L162" s="3">
        <v>3</v>
      </c>
      <c r="M162" s="2" t="s">
        <v>762</v>
      </c>
      <c r="N162" s="2" t="s">
        <v>15</v>
      </c>
      <c r="O162" s="4">
        <v>18.14209072683445</v>
      </c>
      <c r="P162" s="2" t="str">
        <f t="shared" si="2"/>
        <v>Superior</v>
      </c>
    </row>
    <row r="163" spans="1:16" ht="20.100000000000001" customHeight="1" x14ac:dyDescent="0.3">
      <c r="A163" s="2" t="s">
        <v>84</v>
      </c>
      <c r="B163" s="2" t="s">
        <v>768</v>
      </c>
      <c r="C163" s="3">
        <v>85</v>
      </c>
      <c r="D163" s="2" t="s">
        <v>760</v>
      </c>
      <c r="E163" s="4">
        <v>6.1890159029999996</v>
      </c>
      <c r="F163" s="4">
        <v>1.2918547119999999</v>
      </c>
      <c r="G163" s="4">
        <v>19.715350489999999</v>
      </c>
      <c r="H163" s="2" t="s">
        <v>24</v>
      </c>
      <c r="I163" s="4">
        <v>34.600221959999999</v>
      </c>
      <c r="J163" s="4">
        <v>101.6760987</v>
      </c>
      <c r="K163" s="5">
        <v>5.72735649</v>
      </c>
      <c r="L163" s="3">
        <v>1</v>
      </c>
      <c r="M163" s="2" t="s">
        <v>762</v>
      </c>
      <c r="N163" s="2" t="s">
        <v>18</v>
      </c>
      <c r="O163" s="4">
        <v>3.5286361767379861</v>
      </c>
      <c r="P163" s="2" t="str">
        <f t="shared" si="2"/>
        <v>Acceptable</v>
      </c>
    </row>
    <row r="164" spans="1:16" ht="20.100000000000001" customHeight="1" x14ac:dyDescent="0.3">
      <c r="A164" s="2" t="s">
        <v>708</v>
      </c>
      <c r="B164" s="2" t="s">
        <v>770</v>
      </c>
      <c r="C164" s="3">
        <v>85</v>
      </c>
      <c r="D164" s="2" t="s">
        <v>761</v>
      </c>
      <c r="E164" s="4">
        <v>20.790436010000001</v>
      </c>
      <c r="F164" s="4">
        <v>3.2474625769999999</v>
      </c>
      <c r="G164" s="4">
        <v>41.237211279999997</v>
      </c>
      <c r="H164" s="2" t="s">
        <v>14</v>
      </c>
      <c r="I164" s="4">
        <v>49.966932249999999</v>
      </c>
      <c r="J164" s="4">
        <v>63.11113229</v>
      </c>
      <c r="K164" s="5">
        <v>22.897385270000001</v>
      </c>
      <c r="L164" s="3">
        <v>2</v>
      </c>
      <c r="M164" s="2" t="s">
        <v>762</v>
      </c>
      <c r="N164" s="2" t="s">
        <v>21</v>
      </c>
      <c r="O164" s="4">
        <v>2.3228260235912055</v>
      </c>
      <c r="P164" s="2" t="str">
        <f t="shared" si="2"/>
        <v>Low</v>
      </c>
    </row>
    <row r="165" spans="1:16" ht="20.100000000000001" customHeight="1" x14ac:dyDescent="0.3">
      <c r="A165" s="2" t="s">
        <v>709</v>
      </c>
      <c r="B165" s="2" t="s">
        <v>22</v>
      </c>
      <c r="C165" s="3">
        <v>50</v>
      </c>
      <c r="D165" s="2" t="s">
        <v>761</v>
      </c>
      <c r="E165" s="4">
        <v>19.958025280000001</v>
      </c>
      <c r="F165" s="4">
        <v>1.2982715789999999</v>
      </c>
      <c r="G165" s="4">
        <v>43.007658050000003</v>
      </c>
      <c r="H165" s="2" t="s">
        <v>28</v>
      </c>
      <c r="I165" s="4">
        <v>15.820122019999999</v>
      </c>
      <c r="J165" s="4">
        <v>53.374812259999999</v>
      </c>
      <c r="K165" s="5">
        <v>30.006274380000001</v>
      </c>
      <c r="L165" s="3">
        <v>2</v>
      </c>
      <c r="M165" s="2" t="s">
        <v>762</v>
      </c>
      <c r="N165" s="2" t="s">
        <v>18</v>
      </c>
      <c r="O165" s="4">
        <v>3.7475872859624464</v>
      </c>
      <c r="P165" s="2" t="str">
        <f t="shared" si="2"/>
        <v>Acceptable</v>
      </c>
    </row>
    <row r="166" spans="1:16" ht="20.100000000000001" customHeight="1" x14ac:dyDescent="0.3">
      <c r="A166" s="2" t="s">
        <v>710</v>
      </c>
      <c r="B166" s="2" t="s">
        <v>770</v>
      </c>
      <c r="C166" s="3">
        <v>50</v>
      </c>
      <c r="D166" s="2" t="s">
        <v>757</v>
      </c>
      <c r="E166" s="4">
        <v>45.159373170000002</v>
      </c>
      <c r="F166" s="4">
        <v>0.91904629900000001</v>
      </c>
      <c r="G166" s="4">
        <v>31.312481349999999</v>
      </c>
      <c r="H166" s="2" t="s">
        <v>24</v>
      </c>
      <c r="I166" s="4">
        <v>11.792607719999999</v>
      </c>
      <c r="J166" s="4">
        <v>50.75166479</v>
      </c>
      <c r="K166" s="5">
        <v>17.25836241</v>
      </c>
      <c r="L166" s="3">
        <v>5</v>
      </c>
      <c r="M166" s="2" t="s">
        <v>762</v>
      </c>
      <c r="N166" s="2" t="s">
        <v>15</v>
      </c>
      <c r="O166" s="4">
        <v>8.7968329828772838</v>
      </c>
      <c r="P166" s="2" t="str">
        <f t="shared" si="2"/>
        <v>Acceptable</v>
      </c>
    </row>
    <row r="167" spans="1:16" ht="20.100000000000001" customHeight="1" x14ac:dyDescent="0.3">
      <c r="A167" s="2" t="s">
        <v>711</v>
      </c>
      <c r="B167" s="2" t="s">
        <v>768</v>
      </c>
      <c r="C167" s="3">
        <v>100</v>
      </c>
      <c r="D167" s="2" t="s">
        <v>757</v>
      </c>
      <c r="E167" s="4">
        <v>60.831103550000002</v>
      </c>
      <c r="F167" s="4">
        <v>3.57418937</v>
      </c>
      <c r="G167" s="4">
        <v>48.321236169999999</v>
      </c>
      <c r="H167" s="2" t="s">
        <v>17</v>
      </c>
      <c r="I167" s="4">
        <v>26.45024652</v>
      </c>
      <c r="J167" s="4">
        <v>83.898866670000004</v>
      </c>
      <c r="K167" s="5">
        <v>3.171791759</v>
      </c>
      <c r="L167" s="3">
        <v>6.5610211270000001</v>
      </c>
      <c r="M167" s="2" t="s">
        <v>763</v>
      </c>
      <c r="N167" s="2" t="s">
        <v>18</v>
      </c>
      <c r="O167" s="4">
        <v>34.946629611492675</v>
      </c>
      <c r="P167" s="2" t="str">
        <f t="shared" si="2"/>
        <v>Outstanding</v>
      </c>
    </row>
    <row r="168" spans="1:16" ht="20.100000000000001" customHeight="1" x14ac:dyDescent="0.3">
      <c r="A168" s="2" t="s">
        <v>712</v>
      </c>
      <c r="B168" s="2" t="s">
        <v>770</v>
      </c>
      <c r="C168" s="3">
        <v>85</v>
      </c>
      <c r="D168" s="2" t="s">
        <v>761</v>
      </c>
      <c r="E168" s="4">
        <v>27.637934019999999</v>
      </c>
      <c r="F168" s="4">
        <v>1.920578841</v>
      </c>
      <c r="G168" s="4">
        <v>57.099752170000002</v>
      </c>
      <c r="H168" s="2" t="s">
        <v>24</v>
      </c>
      <c r="I168" s="4">
        <v>38.422520210000002</v>
      </c>
      <c r="J168" s="4">
        <v>73.058618679999995</v>
      </c>
      <c r="K168" s="5">
        <v>9.3831361649999998</v>
      </c>
      <c r="L168" s="3">
        <v>7</v>
      </c>
      <c r="M168" s="2" t="s">
        <v>762</v>
      </c>
      <c r="N168" s="2" t="s">
        <v>15</v>
      </c>
      <c r="O168" s="4">
        <v>8.1367967359047029</v>
      </c>
      <c r="P168" s="2" t="str">
        <f t="shared" si="2"/>
        <v>Acceptable</v>
      </c>
    </row>
    <row r="169" spans="1:16" ht="20.100000000000001" customHeight="1" x14ac:dyDescent="0.3">
      <c r="A169" s="2" t="s">
        <v>713</v>
      </c>
      <c r="B169" s="2" t="s">
        <v>769</v>
      </c>
      <c r="C169" s="3">
        <v>62</v>
      </c>
      <c r="D169" s="2" t="s">
        <v>759</v>
      </c>
      <c r="E169" s="4">
        <v>66.461054129999994</v>
      </c>
      <c r="F169" s="4">
        <v>3.8941598989999999</v>
      </c>
      <c r="G169" s="4">
        <v>47.723498220000003</v>
      </c>
      <c r="H169" s="2" t="s">
        <v>17</v>
      </c>
      <c r="I169" s="4">
        <v>61.049162180000003</v>
      </c>
      <c r="J169" s="4">
        <v>70.390150649999995</v>
      </c>
      <c r="K169" s="5">
        <v>18.390040020000001</v>
      </c>
      <c r="L169" s="3">
        <v>2.0155741000000001E-2</v>
      </c>
      <c r="M169" s="2" t="s">
        <v>762</v>
      </c>
      <c r="N169" s="2" t="s">
        <v>18</v>
      </c>
      <c r="O169" s="4">
        <v>3.8490340300607269</v>
      </c>
      <c r="P169" s="2" t="str">
        <f t="shared" si="2"/>
        <v>Acceptable</v>
      </c>
    </row>
    <row r="170" spans="1:16" ht="20.100000000000001" customHeight="1" x14ac:dyDescent="0.3">
      <c r="A170" s="2" t="s">
        <v>714</v>
      </c>
      <c r="B170" s="2" t="s">
        <v>770</v>
      </c>
      <c r="C170" s="3">
        <v>62</v>
      </c>
      <c r="D170" s="2" t="s">
        <v>757</v>
      </c>
      <c r="E170" s="4">
        <v>10.201613010000001</v>
      </c>
      <c r="F170" s="4">
        <v>3.993692464</v>
      </c>
      <c r="G170" s="4">
        <v>36.800425259999997</v>
      </c>
      <c r="H170" s="2" t="s">
        <v>14</v>
      </c>
      <c r="I170" s="4">
        <v>67.363048109999994</v>
      </c>
      <c r="J170" s="4">
        <v>94.846137049999996</v>
      </c>
      <c r="K170" s="5">
        <v>12.61624144</v>
      </c>
      <c r="L170" s="3">
        <v>1</v>
      </c>
      <c r="M170" s="2" t="s">
        <v>763</v>
      </c>
      <c r="N170" s="2" t="s">
        <v>18</v>
      </c>
      <c r="O170" s="4">
        <v>1.7383053936488049</v>
      </c>
      <c r="P170" s="2" t="str">
        <f t="shared" si="2"/>
        <v>Low</v>
      </c>
    </row>
    <row r="171" spans="1:16" ht="20.100000000000001" customHeight="1" x14ac:dyDescent="0.3">
      <c r="A171" s="2" t="s">
        <v>715</v>
      </c>
      <c r="B171" s="2" t="s">
        <v>771</v>
      </c>
      <c r="C171" s="3">
        <v>85</v>
      </c>
      <c r="D171" s="2" t="s">
        <v>761</v>
      </c>
      <c r="E171" s="4">
        <v>8.9369137960000007</v>
      </c>
      <c r="F171" s="4">
        <v>3.6232607880000001</v>
      </c>
      <c r="G171" s="4">
        <v>35.317124040000003</v>
      </c>
      <c r="H171" s="2" t="s">
        <v>28</v>
      </c>
      <c r="I171" s="4">
        <v>27.047854489999999</v>
      </c>
      <c r="J171" s="4">
        <v>93.46087661</v>
      </c>
      <c r="K171" s="5">
        <v>14.33109535</v>
      </c>
      <c r="L171" s="3">
        <v>6</v>
      </c>
      <c r="M171" s="2" t="s">
        <v>762</v>
      </c>
      <c r="N171" s="2" t="s">
        <v>15</v>
      </c>
      <c r="O171" s="4">
        <v>5.0449833557553907</v>
      </c>
      <c r="P171" s="2" t="str">
        <f t="shared" si="2"/>
        <v>Acceptable</v>
      </c>
    </row>
    <row r="172" spans="1:16" ht="20.100000000000001" customHeight="1" x14ac:dyDescent="0.3">
      <c r="A172" s="2" t="s">
        <v>716</v>
      </c>
      <c r="B172" s="2" t="s">
        <v>22</v>
      </c>
      <c r="C172" s="3">
        <v>62</v>
      </c>
      <c r="D172" s="2" t="s">
        <v>758</v>
      </c>
      <c r="E172" s="4">
        <v>26.44403312</v>
      </c>
      <c r="F172" s="4">
        <v>3.6922374580000001</v>
      </c>
      <c r="G172" s="4">
        <v>27.121429899999999</v>
      </c>
      <c r="H172" s="2" t="s">
        <v>17</v>
      </c>
      <c r="I172" s="4">
        <v>63.481603870000001</v>
      </c>
      <c r="J172" s="4">
        <v>80.477755079999994</v>
      </c>
      <c r="K172" s="5">
        <v>14.394105489999999</v>
      </c>
      <c r="L172" s="3">
        <v>3</v>
      </c>
      <c r="M172" s="2" t="s">
        <v>762</v>
      </c>
      <c r="N172" s="2" t="s">
        <v>15</v>
      </c>
      <c r="O172" s="4">
        <v>2.7865700701605611</v>
      </c>
      <c r="P172" s="2" t="str">
        <f t="shared" si="2"/>
        <v>Low</v>
      </c>
    </row>
    <row r="173" spans="1:16" ht="20.100000000000001" customHeight="1" x14ac:dyDescent="0.3">
      <c r="A173" s="2" t="s">
        <v>717</v>
      </c>
      <c r="B173" s="2" t="s">
        <v>770</v>
      </c>
      <c r="C173" s="3">
        <v>100</v>
      </c>
      <c r="D173" s="2" t="s">
        <v>758</v>
      </c>
      <c r="E173" s="4">
        <v>42.017959500000003</v>
      </c>
      <c r="F173" s="4">
        <v>0.73026584699999997</v>
      </c>
      <c r="G173" s="4">
        <v>13.30298668</v>
      </c>
      <c r="H173" s="2" t="s">
        <v>24</v>
      </c>
      <c r="I173" s="4">
        <v>55.038404849999999</v>
      </c>
      <c r="J173" s="4">
        <v>70.450057049999998</v>
      </c>
      <c r="K173" s="5">
        <v>14.641852950000001</v>
      </c>
      <c r="L173" s="3">
        <v>5</v>
      </c>
      <c r="M173" s="2" t="s">
        <v>764</v>
      </c>
      <c r="N173" s="2" t="s">
        <v>21</v>
      </c>
      <c r="O173" s="4">
        <v>6.4756617796768579</v>
      </c>
      <c r="P173" s="2" t="str">
        <f t="shared" si="2"/>
        <v>Acceptable</v>
      </c>
    </row>
    <row r="174" spans="1:16" ht="20.100000000000001" customHeight="1" x14ac:dyDescent="0.3">
      <c r="A174" s="2" t="s">
        <v>718</v>
      </c>
      <c r="B174" s="2" t="s">
        <v>22</v>
      </c>
      <c r="C174" s="3">
        <v>50</v>
      </c>
      <c r="D174" s="2" t="s">
        <v>760</v>
      </c>
      <c r="E174" s="4">
        <v>34.541347620000003</v>
      </c>
      <c r="F174" s="4">
        <v>2.5391782539999999</v>
      </c>
      <c r="G174" s="4">
        <v>14.23959211</v>
      </c>
      <c r="H174" s="2" t="s">
        <v>17</v>
      </c>
      <c r="I174" s="4">
        <v>16.960526959999999</v>
      </c>
      <c r="J174" s="4">
        <v>84.599056259999998</v>
      </c>
      <c r="K174" s="5">
        <v>13.02887814</v>
      </c>
      <c r="L174" s="3">
        <v>2</v>
      </c>
      <c r="M174" s="2" t="s">
        <v>764</v>
      </c>
      <c r="N174" s="2" t="s">
        <v>15</v>
      </c>
      <c r="O174" s="4">
        <v>11.681629765284278</v>
      </c>
      <c r="P174" s="2" t="str">
        <f t="shared" si="2"/>
        <v>Superior</v>
      </c>
    </row>
    <row r="175" spans="1:16" ht="20.100000000000001" customHeight="1" x14ac:dyDescent="0.3">
      <c r="A175" s="2" t="s">
        <v>719</v>
      </c>
      <c r="B175" s="2" t="s">
        <v>22</v>
      </c>
      <c r="C175" s="3">
        <v>100</v>
      </c>
      <c r="D175" s="2" t="s">
        <v>761</v>
      </c>
      <c r="E175" s="4">
        <v>67.078282160000001</v>
      </c>
      <c r="F175" s="4">
        <v>3.8839828129999998</v>
      </c>
      <c r="G175" s="4">
        <v>23.098143350000001</v>
      </c>
      <c r="H175" s="2" t="s">
        <v>17</v>
      </c>
      <c r="I175" s="4">
        <v>23.03221546</v>
      </c>
      <c r="J175" s="4">
        <v>95.028311770000002</v>
      </c>
      <c r="K175" s="5">
        <v>5.0100278820000002</v>
      </c>
      <c r="L175" s="3">
        <v>3</v>
      </c>
      <c r="M175" s="2" t="s">
        <v>763</v>
      </c>
      <c r="N175" s="2" t="s">
        <v>21</v>
      </c>
      <c r="O175" s="4">
        <v>48.293744627007143</v>
      </c>
      <c r="P175" s="2" t="str">
        <f t="shared" si="2"/>
        <v>Outstanding</v>
      </c>
    </row>
    <row r="176" spans="1:16" ht="20.100000000000001" customHeight="1" x14ac:dyDescent="0.3">
      <c r="A176" s="2" t="s">
        <v>720</v>
      </c>
      <c r="B176" s="2" t="s">
        <v>770</v>
      </c>
      <c r="C176" s="3">
        <v>100</v>
      </c>
      <c r="D176" s="2" t="s">
        <v>759</v>
      </c>
      <c r="E176" s="4">
        <v>39.706995569999997</v>
      </c>
      <c r="F176" s="4">
        <v>3.7751353999999999</v>
      </c>
      <c r="G176" s="4">
        <v>18.685293659999999</v>
      </c>
      <c r="H176" s="2" t="s">
        <v>14</v>
      </c>
      <c r="I176" s="4">
        <v>34.037647560000003</v>
      </c>
      <c r="J176" s="4">
        <v>96.365747949999999</v>
      </c>
      <c r="K176" s="5">
        <v>0.25910312699999999</v>
      </c>
      <c r="L176" s="3">
        <v>7</v>
      </c>
      <c r="M176" s="2" t="s">
        <v>762</v>
      </c>
      <c r="N176" s="2" t="s">
        <v>18</v>
      </c>
      <c r="O176" s="4">
        <v>24.748616060722448</v>
      </c>
      <c r="P176" s="2" t="str">
        <f t="shared" si="2"/>
        <v>Outstanding</v>
      </c>
    </row>
    <row r="177" spans="1:16" ht="20.100000000000001" customHeight="1" x14ac:dyDescent="0.3">
      <c r="A177" s="2" t="s">
        <v>721</v>
      </c>
      <c r="B177" s="2" t="s">
        <v>769</v>
      </c>
      <c r="C177" s="3">
        <v>62</v>
      </c>
      <c r="D177" s="2" t="s">
        <v>761</v>
      </c>
      <c r="E177" s="4">
        <v>30.751503979999999</v>
      </c>
      <c r="F177" s="4">
        <v>3.7776687529999999</v>
      </c>
      <c r="G177" s="4">
        <v>19.480123949999999</v>
      </c>
      <c r="H177" s="2" t="s">
        <v>14</v>
      </c>
      <c r="I177" s="4">
        <v>49.526883460000001</v>
      </c>
      <c r="J177" s="4">
        <v>68.653107340000005</v>
      </c>
      <c r="K177" s="5">
        <v>31.980349799999999</v>
      </c>
      <c r="L177" s="3">
        <v>0.190046926</v>
      </c>
      <c r="M177" s="2" t="s">
        <v>763</v>
      </c>
      <c r="N177" s="2" t="s">
        <v>21</v>
      </c>
      <c r="O177" s="4">
        <v>3.6465929285627849</v>
      </c>
      <c r="P177" s="2" t="str">
        <f t="shared" si="2"/>
        <v>Acceptable</v>
      </c>
    </row>
    <row r="178" spans="1:16" ht="20.100000000000001" customHeight="1" x14ac:dyDescent="0.3">
      <c r="A178" s="2" t="s">
        <v>722</v>
      </c>
      <c r="B178" s="2" t="s">
        <v>770</v>
      </c>
      <c r="C178" s="3">
        <v>100</v>
      </c>
      <c r="D178" s="2" t="s">
        <v>758</v>
      </c>
      <c r="E178" s="4">
        <v>85.039854309999996</v>
      </c>
      <c r="F178" s="4">
        <v>3.7083846380000001</v>
      </c>
      <c r="G178" s="4">
        <v>26.726596799999999</v>
      </c>
      <c r="H178" s="2" t="s">
        <v>14</v>
      </c>
      <c r="I178" s="4">
        <v>32.362801959999999</v>
      </c>
      <c r="J178" s="4">
        <v>55.988657920000001</v>
      </c>
      <c r="K178" s="5">
        <v>22.669920269999999</v>
      </c>
      <c r="L178" s="3">
        <v>7</v>
      </c>
      <c r="M178" s="2" t="s">
        <v>762</v>
      </c>
      <c r="N178" s="2" t="s">
        <v>18</v>
      </c>
      <c r="O178" s="4">
        <v>20.091393487874452</v>
      </c>
      <c r="P178" s="2" t="str">
        <f t="shared" si="2"/>
        <v>Outstanding</v>
      </c>
    </row>
    <row r="179" spans="1:16" ht="20.100000000000001" customHeight="1" x14ac:dyDescent="0.3">
      <c r="A179" s="2" t="s">
        <v>723</v>
      </c>
      <c r="B179" s="2" t="s">
        <v>771</v>
      </c>
      <c r="C179" s="3">
        <v>50</v>
      </c>
      <c r="D179" s="2" t="s">
        <v>758</v>
      </c>
      <c r="E179" s="4">
        <v>47.767847340000003</v>
      </c>
      <c r="F179" s="4">
        <v>2.6794513869999999</v>
      </c>
      <c r="G179" s="4">
        <v>32.99434153</v>
      </c>
      <c r="H179" s="2" t="s">
        <v>28</v>
      </c>
      <c r="I179" s="4">
        <v>13.709453509999999</v>
      </c>
      <c r="J179" s="4">
        <v>97.589405319999997</v>
      </c>
      <c r="K179" s="5">
        <v>15.36325798</v>
      </c>
      <c r="L179" s="3">
        <v>6</v>
      </c>
      <c r="M179" s="2" t="s">
        <v>762</v>
      </c>
      <c r="N179" s="2" t="s">
        <v>21</v>
      </c>
      <c r="O179" s="4">
        <v>20.033823664733184</v>
      </c>
      <c r="P179" s="2" t="str">
        <f t="shared" si="2"/>
        <v>Outstanding</v>
      </c>
    </row>
    <row r="180" spans="1:16" ht="20.100000000000001" customHeight="1" x14ac:dyDescent="0.3">
      <c r="A180" s="2" t="s">
        <v>724</v>
      </c>
      <c r="B180" s="2" t="s">
        <v>22</v>
      </c>
      <c r="C180" s="3">
        <v>62</v>
      </c>
      <c r="D180" s="2" t="s">
        <v>758</v>
      </c>
      <c r="E180" s="4">
        <v>57.454421170000003</v>
      </c>
      <c r="F180" s="4">
        <v>1.1211552950000001</v>
      </c>
      <c r="G180" s="4">
        <v>35.730229370000004</v>
      </c>
      <c r="H180" s="2" t="s">
        <v>17</v>
      </c>
      <c r="I180" s="4">
        <v>32.341871529999999</v>
      </c>
      <c r="J180" s="4">
        <v>89.617145590000007</v>
      </c>
      <c r="K180" s="5">
        <v>33.49059845</v>
      </c>
      <c r="L180" s="3">
        <v>1</v>
      </c>
      <c r="M180" s="2" t="s">
        <v>763</v>
      </c>
      <c r="N180" s="2" t="s">
        <v>18</v>
      </c>
      <c r="O180" s="4">
        <v>20.402449854516583</v>
      </c>
      <c r="P180" s="2" t="str">
        <f t="shared" si="2"/>
        <v>Outstanding</v>
      </c>
    </row>
    <row r="181" spans="1:16" ht="20.100000000000001" customHeight="1" x14ac:dyDescent="0.3">
      <c r="A181" s="2" t="s">
        <v>85</v>
      </c>
      <c r="B181" s="2" t="s">
        <v>769</v>
      </c>
      <c r="C181" s="3">
        <v>93.273780669999994</v>
      </c>
      <c r="D181" s="2" t="s">
        <v>759</v>
      </c>
      <c r="E181" s="4">
        <v>15.660564020000001</v>
      </c>
      <c r="F181" s="4">
        <v>3.1406501630000001</v>
      </c>
      <c r="G181" s="4">
        <v>7.7021878490000004</v>
      </c>
      <c r="H181" s="2" t="s">
        <v>24</v>
      </c>
      <c r="I181" s="4">
        <v>30.883226659999998</v>
      </c>
      <c r="J181" s="4">
        <v>51.480892910000001</v>
      </c>
      <c r="K181" s="5">
        <v>29.53906344</v>
      </c>
      <c r="L181" s="3">
        <v>2</v>
      </c>
      <c r="M181" s="2" t="s">
        <v>764</v>
      </c>
      <c r="N181" s="2" t="s">
        <v>21</v>
      </c>
      <c r="O181" s="4">
        <v>3.008742332420979</v>
      </c>
      <c r="P181" s="2" t="str">
        <f t="shared" si="2"/>
        <v>Acceptable</v>
      </c>
    </row>
    <row r="182" spans="1:16" ht="20.100000000000001" customHeight="1" x14ac:dyDescent="0.3">
      <c r="A182" s="2" t="s">
        <v>725</v>
      </c>
      <c r="B182" s="2" t="s">
        <v>22</v>
      </c>
      <c r="C182" s="3">
        <v>100</v>
      </c>
      <c r="D182" s="2" t="s">
        <v>757</v>
      </c>
      <c r="E182" s="4">
        <v>52.739773210000003</v>
      </c>
      <c r="F182" s="4">
        <v>2.1813898090000001</v>
      </c>
      <c r="G182" s="4">
        <v>9.721254708</v>
      </c>
      <c r="H182" s="2" t="s">
        <v>24</v>
      </c>
      <c r="I182" s="4">
        <v>77.810615870000007</v>
      </c>
      <c r="J182" s="4">
        <v>89.794521660000001</v>
      </c>
      <c r="K182" s="5">
        <v>37.118242330000001</v>
      </c>
      <c r="L182" s="3">
        <v>4</v>
      </c>
      <c r="M182" s="2" t="s">
        <v>763</v>
      </c>
      <c r="N182" s="2" t="s">
        <v>18</v>
      </c>
      <c r="O182" s="4">
        <v>6.3202847353460561</v>
      </c>
      <c r="P182" s="2" t="str">
        <f t="shared" si="2"/>
        <v>Acceptable</v>
      </c>
    </row>
    <row r="183" spans="1:16" ht="20.100000000000001" customHeight="1" x14ac:dyDescent="0.3">
      <c r="A183" s="2" t="s">
        <v>726</v>
      </c>
      <c r="B183" s="2" t="s">
        <v>768</v>
      </c>
      <c r="C183" s="3">
        <v>50</v>
      </c>
      <c r="D183" s="2" t="s">
        <v>757</v>
      </c>
      <c r="E183" s="4">
        <v>61.932979869999997</v>
      </c>
      <c r="F183" s="4">
        <v>2.768766276</v>
      </c>
      <c r="G183" s="4">
        <v>37.393092410000001</v>
      </c>
      <c r="H183" s="2" t="s">
        <v>14</v>
      </c>
      <c r="I183" s="4">
        <v>39.914802090000002</v>
      </c>
      <c r="J183" s="4">
        <v>53.246014410000001</v>
      </c>
      <c r="K183" s="5">
        <v>0.71085760799999997</v>
      </c>
      <c r="L183" s="3">
        <v>0.84518962099999995</v>
      </c>
      <c r="M183" s="2" t="s">
        <v>763</v>
      </c>
      <c r="N183" s="2" t="s">
        <v>21</v>
      </c>
      <c r="O183" s="4">
        <v>4.1282085212862798</v>
      </c>
      <c r="P183" s="2" t="str">
        <f t="shared" si="2"/>
        <v>Acceptable</v>
      </c>
    </row>
    <row r="184" spans="1:16" ht="20.100000000000001" customHeight="1" x14ac:dyDescent="0.3">
      <c r="A184" s="2" t="s">
        <v>727</v>
      </c>
      <c r="B184" s="2" t="s">
        <v>771</v>
      </c>
      <c r="C184" s="3">
        <v>85</v>
      </c>
      <c r="D184" s="2" t="s">
        <v>761</v>
      </c>
      <c r="E184" s="4">
        <v>23.437875330000001</v>
      </c>
      <c r="F184" s="4">
        <v>3.4636469339999998</v>
      </c>
      <c r="G184" s="4">
        <v>50.350624080000003</v>
      </c>
      <c r="H184" s="2" t="s">
        <v>17</v>
      </c>
      <c r="I184" s="4">
        <v>81.159387659999993</v>
      </c>
      <c r="J184" s="4">
        <v>93.275823169999995</v>
      </c>
      <c r="K184" s="5">
        <v>14.78523429</v>
      </c>
      <c r="L184" s="3">
        <v>5</v>
      </c>
      <c r="M184" s="2" t="s">
        <v>763</v>
      </c>
      <c r="N184" s="2" t="s">
        <v>18</v>
      </c>
      <c r="O184" s="4">
        <v>2.4138597918826026</v>
      </c>
      <c r="P184" s="2" t="str">
        <f t="shared" si="2"/>
        <v>Low</v>
      </c>
    </row>
    <row r="185" spans="1:16" ht="20.100000000000001" customHeight="1" x14ac:dyDescent="0.3">
      <c r="A185" s="2" t="s">
        <v>728</v>
      </c>
      <c r="B185" s="2" t="s">
        <v>22</v>
      </c>
      <c r="C185" s="3">
        <v>62</v>
      </c>
      <c r="D185" s="2" t="s">
        <v>758</v>
      </c>
      <c r="E185" s="4">
        <v>8.3158057949999993</v>
      </c>
      <c r="F185" s="4">
        <v>0.72810198599999998</v>
      </c>
      <c r="G185" s="4">
        <v>11.73724408</v>
      </c>
      <c r="H185" s="2" t="s">
        <v>17</v>
      </c>
      <c r="I185" s="4">
        <v>38.55338957</v>
      </c>
      <c r="J185" s="4">
        <v>56.847684460000004</v>
      </c>
      <c r="K185" s="5">
        <v>35.821776110000002</v>
      </c>
      <c r="L185" s="3">
        <v>2.9288113309999999</v>
      </c>
      <c r="M185" s="2" t="s">
        <v>763</v>
      </c>
      <c r="N185" s="2" t="s">
        <v>21</v>
      </c>
      <c r="O185" s="4">
        <v>0.94321718146254563</v>
      </c>
      <c r="P185" s="2" t="str">
        <f t="shared" si="2"/>
        <v>Low</v>
      </c>
    </row>
    <row r="186" spans="1:16" ht="20.100000000000001" customHeight="1" x14ac:dyDescent="0.3">
      <c r="A186" s="2" t="s">
        <v>729</v>
      </c>
      <c r="B186" s="2" t="s">
        <v>22</v>
      </c>
      <c r="C186" s="3">
        <v>100</v>
      </c>
      <c r="D186" s="2" t="s">
        <v>759</v>
      </c>
      <c r="E186" s="4">
        <v>71.945059229999998</v>
      </c>
      <c r="F186" s="4">
        <v>3.9425677719999999</v>
      </c>
      <c r="G186" s="4">
        <v>7.4776875260000004</v>
      </c>
      <c r="H186" s="2" t="s">
        <v>14</v>
      </c>
      <c r="I186" s="4">
        <v>21.348620889999999</v>
      </c>
      <c r="J186" s="4">
        <v>74.290003260000006</v>
      </c>
      <c r="K186" s="5">
        <v>24.85134437</v>
      </c>
      <c r="L186" s="3">
        <v>5</v>
      </c>
      <c r="M186" s="2" t="s">
        <v>764</v>
      </c>
      <c r="N186" s="2" t="s">
        <v>18</v>
      </c>
      <c r="O186" s="4">
        <v>38.088708903277286</v>
      </c>
      <c r="P186" s="2" t="str">
        <f t="shared" si="2"/>
        <v>Outstanding</v>
      </c>
    </row>
    <row r="187" spans="1:16" ht="20.100000000000001" customHeight="1" x14ac:dyDescent="0.3">
      <c r="A187" s="2" t="s">
        <v>730</v>
      </c>
      <c r="B187" s="2" t="s">
        <v>770</v>
      </c>
      <c r="C187" s="3">
        <v>100</v>
      </c>
      <c r="D187" s="2" t="s">
        <v>760</v>
      </c>
      <c r="E187" s="4">
        <v>9.2090679309999999</v>
      </c>
      <c r="F187" s="4">
        <v>2.4162095159999999</v>
      </c>
      <c r="G187" s="4">
        <v>43.773377109999998</v>
      </c>
      <c r="H187" s="2" t="s">
        <v>14</v>
      </c>
      <c r="I187" s="4">
        <v>44.006425370000002</v>
      </c>
      <c r="J187" s="4">
        <v>78.66085588</v>
      </c>
      <c r="K187" s="5">
        <v>9.6265707339999995</v>
      </c>
      <c r="L187" s="3">
        <v>7</v>
      </c>
      <c r="M187" s="2" t="s">
        <v>762</v>
      </c>
      <c r="N187" s="2" t="s">
        <v>18</v>
      </c>
      <c r="O187" s="4">
        <v>3.1913500467670897</v>
      </c>
      <c r="P187" s="2" t="str">
        <f t="shared" si="2"/>
        <v>Acceptable</v>
      </c>
    </row>
    <row r="188" spans="1:16" ht="20.100000000000001" customHeight="1" x14ac:dyDescent="0.3">
      <c r="A188" s="2" t="s">
        <v>30</v>
      </c>
      <c r="B188" s="2" t="s">
        <v>769</v>
      </c>
      <c r="C188" s="3">
        <v>100</v>
      </c>
      <c r="D188" s="2" t="s">
        <v>761</v>
      </c>
      <c r="E188" s="4">
        <v>34.25645291</v>
      </c>
      <c r="F188" s="4">
        <v>3.0655847519999999</v>
      </c>
      <c r="G188" s="4">
        <v>5.5236886189999996</v>
      </c>
      <c r="H188" s="2" t="s">
        <v>24</v>
      </c>
      <c r="I188" s="4">
        <v>19.205446949999999</v>
      </c>
      <c r="J188" s="4">
        <v>51.626482729999999</v>
      </c>
      <c r="K188" s="5">
        <v>23.662965360000001</v>
      </c>
      <c r="L188" s="3">
        <v>0</v>
      </c>
      <c r="M188" s="2" t="s">
        <v>763</v>
      </c>
      <c r="N188" s="2" t="s">
        <v>18</v>
      </c>
      <c r="O188" s="4">
        <v>11.106296854909949</v>
      </c>
      <c r="P188" s="2" t="str">
        <f t="shared" si="2"/>
        <v>Superior</v>
      </c>
    </row>
    <row r="189" spans="1:16" ht="20.100000000000001" customHeight="1" x14ac:dyDescent="0.3">
      <c r="A189" s="2" t="s">
        <v>731</v>
      </c>
      <c r="B189" s="2" t="s">
        <v>769</v>
      </c>
      <c r="C189" s="3">
        <v>62</v>
      </c>
      <c r="D189" s="2" t="s">
        <v>760</v>
      </c>
      <c r="E189" s="4">
        <v>35.762282689999999</v>
      </c>
      <c r="F189" s="4">
        <v>1.926370331</v>
      </c>
      <c r="G189" s="4">
        <v>22.86775772</v>
      </c>
      <c r="H189" s="2" t="s">
        <v>24</v>
      </c>
      <c r="I189" s="4">
        <v>11.854880939999999</v>
      </c>
      <c r="J189" s="4">
        <v>114.16784199999999</v>
      </c>
      <c r="K189" s="5">
        <v>39.207638269999997</v>
      </c>
      <c r="L189" s="3">
        <v>3</v>
      </c>
      <c r="M189" s="2" t="s">
        <v>762</v>
      </c>
      <c r="N189" s="2" t="s">
        <v>21</v>
      </c>
      <c r="O189" s="4">
        <v>22.685459224927822</v>
      </c>
      <c r="P189" s="2" t="str">
        <f t="shared" si="2"/>
        <v>Outstanding</v>
      </c>
    </row>
    <row r="190" spans="1:16" ht="20.100000000000001" customHeight="1" x14ac:dyDescent="0.3">
      <c r="A190" s="2" t="s">
        <v>732</v>
      </c>
      <c r="B190" s="2" t="s">
        <v>771</v>
      </c>
      <c r="C190" s="3">
        <v>46.172872499999997</v>
      </c>
      <c r="D190" s="2" t="s">
        <v>761</v>
      </c>
      <c r="E190" s="4">
        <v>60.251440690000003</v>
      </c>
      <c r="F190" s="4">
        <v>2.7360721469999998</v>
      </c>
      <c r="G190" s="4">
        <v>42.337925499999997</v>
      </c>
      <c r="H190" s="2" t="s">
        <v>14</v>
      </c>
      <c r="I190" s="4">
        <v>38.878522320000002</v>
      </c>
      <c r="J190" s="4">
        <v>51.845622769999999</v>
      </c>
      <c r="K190" s="5">
        <v>31.5476432</v>
      </c>
      <c r="L190" s="3">
        <v>6</v>
      </c>
      <c r="M190" s="2" t="s">
        <v>763</v>
      </c>
      <c r="N190" s="2" t="s">
        <v>21</v>
      </c>
      <c r="O190" s="4">
        <v>3.6074241197135302</v>
      </c>
      <c r="P190" s="2" t="str">
        <f t="shared" si="2"/>
        <v>Acceptable</v>
      </c>
    </row>
    <row r="191" spans="1:16" ht="20.100000000000001" customHeight="1" x14ac:dyDescent="0.3">
      <c r="A191" s="2" t="s">
        <v>733</v>
      </c>
      <c r="B191" s="2" t="s">
        <v>768</v>
      </c>
      <c r="C191" s="3">
        <v>75</v>
      </c>
      <c r="D191" s="2" t="s">
        <v>761</v>
      </c>
      <c r="E191" s="4">
        <v>54.825113330000001</v>
      </c>
      <c r="F191" s="4">
        <v>0.55721332800000001</v>
      </c>
      <c r="G191" s="4">
        <v>45.863832010000003</v>
      </c>
      <c r="H191" s="2" t="s">
        <v>17</v>
      </c>
      <c r="I191" s="4">
        <v>71.307837109999994</v>
      </c>
      <c r="J191" s="4">
        <v>96.797812260000001</v>
      </c>
      <c r="K191" s="5">
        <v>23.601369779999999</v>
      </c>
      <c r="L191" s="3">
        <v>5</v>
      </c>
      <c r="M191" s="2" t="s">
        <v>762</v>
      </c>
      <c r="N191" s="2" t="s">
        <v>21</v>
      </c>
      <c r="O191" s="4">
        <v>10.481180822832258</v>
      </c>
      <c r="P191" s="2" t="str">
        <f t="shared" si="2"/>
        <v>Superior</v>
      </c>
    </row>
    <row r="192" spans="1:16" ht="20.100000000000001" customHeight="1" x14ac:dyDescent="0.3">
      <c r="A192" s="2" t="s">
        <v>734</v>
      </c>
      <c r="B192" s="2" t="s">
        <v>770</v>
      </c>
      <c r="C192" s="3">
        <v>85</v>
      </c>
      <c r="D192" s="2" t="s">
        <v>757</v>
      </c>
      <c r="E192" s="4">
        <v>65.232543160000006</v>
      </c>
      <c r="F192" s="4">
        <v>1.566585949</v>
      </c>
      <c r="G192" s="4">
        <v>17.129991799999999</v>
      </c>
      <c r="H192" s="2" t="s">
        <v>24</v>
      </c>
      <c r="I192" s="4">
        <v>48.170846390000001</v>
      </c>
      <c r="J192" s="4">
        <v>61.353665829999997</v>
      </c>
      <c r="K192" s="5">
        <v>33.93763723</v>
      </c>
      <c r="L192" s="3">
        <v>4</v>
      </c>
      <c r="M192" s="2" t="s">
        <v>764</v>
      </c>
      <c r="N192" s="2" t="s">
        <v>15</v>
      </c>
      <c r="O192" s="4">
        <v>7.3095651237674373</v>
      </c>
      <c r="P192" s="2" t="str">
        <f t="shared" si="2"/>
        <v>Acceptable</v>
      </c>
    </row>
    <row r="193" spans="1:16" ht="20.100000000000001" customHeight="1" x14ac:dyDescent="0.3">
      <c r="A193" s="2" t="s">
        <v>735</v>
      </c>
      <c r="B193" s="2" t="s">
        <v>768</v>
      </c>
      <c r="C193" s="3">
        <v>75</v>
      </c>
      <c r="D193" s="2" t="s">
        <v>759</v>
      </c>
      <c r="E193" s="4">
        <v>6.4323241700000002</v>
      </c>
      <c r="F193" s="4">
        <v>0.93023930799999999</v>
      </c>
      <c r="G193" s="4">
        <v>9.0259385840000004</v>
      </c>
      <c r="H193" s="2" t="s">
        <v>28</v>
      </c>
      <c r="I193" s="4">
        <v>71.493804699999998</v>
      </c>
      <c r="J193" s="4">
        <v>73.286593049999993</v>
      </c>
      <c r="K193" s="5">
        <v>21.696951349999999</v>
      </c>
      <c r="L193" s="3">
        <v>2</v>
      </c>
      <c r="M193" s="2" t="s">
        <v>764</v>
      </c>
      <c r="N193" s="2" t="s">
        <v>15</v>
      </c>
      <c r="O193" s="4">
        <v>8.6488468765495416E-2</v>
      </c>
      <c r="P193" s="2" t="str">
        <f t="shared" si="2"/>
        <v>Low</v>
      </c>
    </row>
    <row r="194" spans="1:16" ht="20.100000000000001" customHeight="1" x14ac:dyDescent="0.3">
      <c r="A194" s="2" t="s">
        <v>86</v>
      </c>
      <c r="B194" s="2" t="s">
        <v>771</v>
      </c>
      <c r="C194" s="3">
        <v>100</v>
      </c>
      <c r="D194" s="2" t="s">
        <v>759</v>
      </c>
      <c r="E194" s="4">
        <v>47.527458760000002</v>
      </c>
      <c r="F194" s="4">
        <v>3.8048996389999998</v>
      </c>
      <c r="G194" s="4">
        <v>14.328175529999999</v>
      </c>
      <c r="H194" s="2" t="s">
        <v>24</v>
      </c>
      <c r="I194" s="4">
        <v>59.932996469999999</v>
      </c>
      <c r="J194" s="4">
        <v>81.183982040000004</v>
      </c>
      <c r="K194" s="5">
        <v>18.979822939999998</v>
      </c>
      <c r="L194" s="3">
        <v>3</v>
      </c>
      <c r="M194" s="2" t="s">
        <v>763</v>
      </c>
      <c r="N194" s="2" t="s">
        <v>15</v>
      </c>
      <c r="O194" s="4">
        <v>10.100053402875304</v>
      </c>
      <c r="P194" s="2" t="str">
        <f t="shared" si="2"/>
        <v>Superior</v>
      </c>
    </row>
    <row r="195" spans="1:16" ht="20.100000000000001" customHeight="1" x14ac:dyDescent="0.3">
      <c r="A195" s="2" t="s">
        <v>736</v>
      </c>
      <c r="B195" s="2" t="s">
        <v>769</v>
      </c>
      <c r="C195" s="3">
        <v>50</v>
      </c>
      <c r="D195" s="2" t="s">
        <v>760</v>
      </c>
      <c r="E195" s="4">
        <v>16.12608972</v>
      </c>
      <c r="F195" s="4">
        <v>3.90961078</v>
      </c>
      <c r="G195" s="4">
        <v>4.1941969759999997</v>
      </c>
      <c r="H195" s="2" t="s">
        <v>24</v>
      </c>
      <c r="I195" s="4">
        <v>61.131252480000001</v>
      </c>
      <c r="J195" s="4">
        <v>71.022774630000001</v>
      </c>
      <c r="K195" s="5">
        <v>29.239399649999999</v>
      </c>
      <c r="L195" s="3">
        <v>5</v>
      </c>
      <c r="M195" s="2" t="s">
        <v>763</v>
      </c>
      <c r="N195" s="2" t="s">
        <v>21</v>
      </c>
      <c r="O195" s="4">
        <v>0.79755786829133657</v>
      </c>
      <c r="P195" s="2" t="str">
        <f t="shared" ref="P195:P258" si="3">IF(O195 &lt; 3, "Low", IF(O195 &lt; 10, "Acceptable", IF(O195 &lt; 20, "Superior", "Outstanding")))</f>
        <v>Low</v>
      </c>
    </row>
    <row r="196" spans="1:16" ht="20.100000000000001" customHeight="1" x14ac:dyDescent="0.3">
      <c r="A196" s="2" t="s">
        <v>737</v>
      </c>
      <c r="B196" s="2" t="s">
        <v>769</v>
      </c>
      <c r="C196" s="3">
        <v>50</v>
      </c>
      <c r="D196" s="2" t="s">
        <v>758</v>
      </c>
      <c r="E196" s="4">
        <v>74.276700579999996</v>
      </c>
      <c r="F196" s="4">
        <v>2.8491514279999999</v>
      </c>
      <c r="G196" s="4">
        <v>25.07354432</v>
      </c>
      <c r="H196" s="2" t="s">
        <v>28</v>
      </c>
      <c r="I196" s="4">
        <v>41.344061670000002</v>
      </c>
      <c r="J196" s="4">
        <v>50.412341259999998</v>
      </c>
      <c r="K196" s="5">
        <v>7.7319673140000003</v>
      </c>
      <c r="L196" s="3">
        <v>3</v>
      </c>
      <c r="M196" s="2" t="s">
        <v>763</v>
      </c>
      <c r="N196" s="2" t="s">
        <v>15</v>
      </c>
      <c r="O196" s="4">
        <v>3.3678094394107738</v>
      </c>
      <c r="P196" s="2" t="str">
        <f t="shared" si="3"/>
        <v>Acceptable</v>
      </c>
    </row>
    <row r="197" spans="1:16" ht="20.100000000000001" customHeight="1" x14ac:dyDescent="0.3">
      <c r="A197" s="2" t="s">
        <v>738</v>
      </c>
      <c r="B197" s="2" t="s">
        <v>769</v>
      </c>
      <c r="C197" s="3">
        <v>50</v>
      </c>
      <c r="D197" s="2" t="s">
        <v>760</v>
      </c>
      <c r="E197" s="4">
        <v>43.251453480000002</v>
      </c>
      <c r="F197" s="4">
        <v>2.5018087680000001</v>
      </c>
      <c r="G197" s="4">
        <v>63.216118379999998</v>
      </c>
      <c r="H197" s="2" t="s">
        <v>17</v>
      </c>
      <c r="I197" s="4">
        <v>62.108672400000003</v>
      </c>
      <c r="J197" s="4">
        <v>65.198895460000003</v>
      </c>
      <c r="K197" s="5">
        <v>1.6308497239999999</v>
      </c>
      <c r="L197" s="3">
        <v>5</v>
      </c>
      <c r="M197" s="2" t="s">
        <v>762</v>
      </c>
      <c r="N197" s="2" t="s">
        <v>21</v>
      </c>
      <c r="O197" s="4">
        <v>0.6682831946120662</v>
      </c>
      <c r="P197" s="2" t="str">
        <f t="shared" si="3"/>
        <v>Low</v>
      </c>
    </row>
    <row r="198" spans="1:16" ht="20.100000000000001" customHeight="1" x14ac:dyDescent="0.3">
      <c r="A198" s="2" t="s">
        <v>739</v>
      </c>
      <c r="B198" s="2" t="s">
        <v>22</v>
      </c>
      <c r="C198" s="3">
        <v>100</v>
      </c>
      <c r="D198" s="2" t="s">
        <v>760</v>
      </c>
      <c r="E198" s="4">
        <v>42.011653529999997</v>
      </c>
      <c r="F198" s="4">
        <v>1.426444322</v>
      </c>
      <c r="G198" s="4">
        <v>5.8954750860000003</v>
      </c>
      <c r="H198" s="2" t="s">
        <v>14</v>
      </c>
      <c r="I198" s="4">
        <v>39.204101549999997</v>
      </c>
      <c r="J198" s="4">
        <v>83.915951800000002</v>
      </c>
      <c r="K198" s="5">
        <v>1.919654703</v>
      </c>
      <c r="L198" s="3">
        <v>7</v>
      </c>
      <c r="M198" s="2" t="s">
        <v>764</v>
      </c>
      <c r="N198" s="2" t="s">
        <v>15</v>
      </c>
      <c r="O198" s="4">
        <v>18.784187613882438</v>
      </c>
      <c r="P198" s="2" t="str">
        <f t="shared" si="3"/>
        <v>Superior</v>
      </c>
    </row>
    <row r="199" spans="1:16" ht="20.100000000000001" customHeight="1" x14ac:dyDescent="0.3">
      <c r="A199" s="2" t="s">
        <v>740</v>
      </c>
      <c r="B199" s="2" t="s">
        <v>768</v>
      </c>
      <c r="C199" s="3">
        <v>100</v>
      </c>
      <c r="D199" s="2" t="s">
        <v>760</v>
      </c>
      <c r="E199" s="4">
        <v>68.185852870000005</v>
      </c>
      <c r="F199" s="4">
        <v>3.2382124280000002</v>
      </c>
      <c r="G199" s="4">
        <v>18.388011509999998</v>
      </c>
      <c r="H199" s="2" t="s">
        <v>14</v>
      </c>
      <c r="I199" s="4">
        <v>31.456374839999999</v>
      </c>
      <c r="J199" s="4">
        <v>93.096461360000006</v>
      </c>
      <c r="K199" s="5">
        <v>34.029774639999999</v>
      </c>
      <c r="L199" s="3">
        <v>4</v>
      </c>
      <c r="M199" s="2" t="s">
        <v>763</v>
      </c>
      <c r="N199" s="2" t="s">
        <v>18</v>
      </c>
      <c r="O199" s="4">
        <v>42.029818703467917</v>
      </c>
      <c r="P199" s="2" t="str">
        <f t="shared" si="3"/>
        <v>Outstanding</v>
      </c>
    </row>
    <row r="200" spans="1:16" ht="20.100000000000001" customHeight="1" x14ac:dyDescent="0.3">
      <c r="A200" s="2" t="s">
        <v>741</v>
      </c>
      <c r="B200" s="2" t="s">
        <v>22</v>
      </c>
      <c r="C200" s="3">
        <v>100</v>
      </c>
      <c r="D200" s="2" t="s">
        <v>760</v>
      </c>
      <c r="E200" s="4">
        <v>18.895101660000002</v>
      </c>
      <c r="F200" s="4">
        <v>3.2671216940000001</v>
      </c>
      <c r="G200" s="4">
        <v>45.482065970000001</v>
      </c>
      <c r="H200" s="2" t="s">
        <v>14</v>
      </c>
      <c r="I200" s="4">
        <v>71.903080729999999</v>
      </c>
      <c r="J200" s="4">
        <v>78.678878699999999</v>
      </c>
      <c r="K200" s="5">
        <v>20.358761019999999</v>
      </c>
      <c r="L200" s="3">
        <v>5</v>
      </c>
      <c r="M200" s="2" t="s">
        <v>764</v>
      </c>
      <c r="N200" s="2" t="s">
        <v>15</v>
      </c>
      <c r="O200" s="4">
        <v>1.2802939147077166</v>
      </c>
      <c r="P200" s="2" t="str">
        <f t="shared" si="3"/>
        <v>Low</v>
      </c>
    </row>
    <row r="201" spans="1:16" ht="20.100000000000001" customHeight="1" x14ac:dyDescent="0.3">
      <c r="A201" s="2" t="s">
        <v>87</v>
      </c>
      <c r="B201" s="2" t="s">
        <v>768</v>
      </c>
      <c r="C201" s="3">
        <v>50</v>
      </c>
      <c r="D201" s="2" t="s">
        <v>758</v>
      </c>
      <c r="E201" s="4">
        <v>65.487195959999994</v>
      </c>
      <c r="F201" s="4">
        <v>2.0662813799999999</v>
      </c>
      <c r="G201" s="4">
        <v>37.577289559999997</v>
      </c>
      <c r="H201" s="2" t="s">
        <v>14</v>
      </c>
      <c r="I201" s="4">
        <v>42.835351230000001</v>
      </c>
      <c r="J201" s="4">
        <v>83.709370539999995</v>
      </c>
      <c r="K201" s="5">
        <v>17.522727669999998</v>
      </c>
      <c r="L201" s="3">
        <v>6</v>
      </c>
      <c r="M201" s="2" t="s">
        <v>764</v>
      </c>
      <c r="N201" s="2" t="s">
        <v>21</v>
      </c>
      <c r="O201" s="4">
        <v>13.383624561133967</v>
      </c>
      <c r="P201" s="2" t="str">
        <f t="shared" si="3"/>
        <v>Superior</v>
      </c>
    </row>
    <row r="202" spans="1:16" ht="20.100000000000001" customHeight="1" x14ac:dyDescent="0.3">
      <c r="A202" s="2" t="s">
        <v>88</v>
      </c>
      <c r="B202" s="2" t="s">
        <v>771</v>
      </c>
      <c r="C202" s="3">
        <v>48.469598560000001</v>
      </c>
      <c r="D202" s="2" t="s">
        <v>759</v>
      </c>
      <c r="E202" s="4">
        <v>47.290027389999999</v>
      </c>
      <c r="F202" s="4">
        <v>3.2947308670000002</v>
      </c>
      <c r="G202" s="4">
        <v>15.408979759999999</v>
      </c>
      <c r="H202" s="2" t="s">
        <v>17</v>
      </c>
      <c r="I202" s="4">
        <v>28.205012889999999</v>
      </c>
      <c r="J202" s="4">
        <v>50.640366630000003</v>
      </c>
      <c r="K202" s="5">
        <v>7.1228470440000002</v>
      </c>
      <c r="L202" s="3">
        <v>7</v>
      </c>
      <c r="M202" s="2" t="s">
        <v>764</v>
      </c>
      <c r="N202" s="2" t="s">
        <v>21</v>
      </c>
      <c r="O202" s="4">
        <v>5.14247169341657</v>
      </c>
      <c r="P202" s="2" t="str">
        <f t="shared" si="3"/>
        <v>Acceptable</v>
      </c>
    </row>
    <row r="203" spans="1:16" ht="20.100000000000001" customHeight="1" x14ac:dyDescent="0.3">
      <c r="A203" s="2" t="s">
        <v>89</v>
      </c>
      <c r="B203" s="2" t="s">
        <v>771</v>
      </c>
      <c r="C203" s="3">
        <v>100</v>
      </c>
      <c r="D203" s="2" t="s">
        <v>757</v>
      </c>
      <c r="E203" s="4">
        <v>48.487567869999999</v>
      </c>
      <c r="F203" s="4">
        <v>0.56393793599999997</v>
      </c>
      <c r="G203" s="4">
        <v>16.75976743</v>
      </c>
      <c r="H203" s="2" t="s">
        <v>17</v>
      </c>
      <c r="I203" s="4">
        <v>35.889037420000001</v>
      </c>
      <c r="J203" s="4">
        <v>90.85231272</v>
      </c>
      <c r="K203" s="5">
        <v>0.53411169300000005</v>
      </c>
      <c r="L203" s="3">
        <v>7</v>
      </c>
      <c r="M203" s="2" t="s">
        <v>763</v>
      </c>
      <c r="N203" s="2" t="s">
        <v>21</v>
      </c>
      <c r="O203" s="4">
        <v>26.65035541466245</v>
      </c>
      <c r="P203" s="2" t="str">
        <f t="shared" si="3"/>
        <v>Outstanding</v>
      </c>
    </row>
    <row r="204" spans="1:16" ht="20.100000000000001" customHeight="1" x14ac:dyDescent="0.3">
      <c r="A204" s="2" t="s">
        <v>90</v>
      </c>
      <c r="B204" s="2" t="s">
        <v>22</v>
      </c>
      <c r="C204" s="3">
        <v>85</v>
      </c>
      <c r="D204" s="2" t="s">
        <v>758</v>
      </c>
      <c r="E204" s="4">
        <v>30.065138900000001</v>
      </c>
      <c r="F204" s="4">
        <v>1.267429956</v>
      </c>
      <c r="G204" s="4">
        <v>35.871121129999999</v>
      </c>
      <c r="H204" s="2" t="s">
        <v>28</v>
      </c>
      <c r="I204" s="4">
        <v>13.948323459999999</v>
      </c>
      <c r="J204" s="4">
        <v>93.598474359999997</v>
      </c>
      <c r="K204" s="5">
        <v>33.018171299999999</v>
      </c>
      <c r="L204" s="3">
        <v>1</v>
      </c>
      <c r="M204" s="2" t="s">
        <v>764</v>
      </c>
      <c r="N204" s="2" t="s">
        <v>21</v>
      </c>
      <c r="O204" s="4">
        <v>20.354889226822912</v>
      </c>
      <c r="P204" s="2" t="str">
        <f t="shared" si="3"/>
        <v>Outstanding</v>
      </c>
    </row>
    <row r="205" spans="1:16" ht="20.100000000000001" customHeight="1" x14ac:dyDescent="0.3">
      <c r="A205" s="2" t="s">
        <v>91</v>
      </c>
      <c r="B205" s="2" t="s">
        <v>22</v>
      </c>
      <c r="C205" s="3">
        <v>85</v>
      </c>
      <c r="D205" s="2" t="s">
        <v>761</v>
      </c>
      <c r="E205" s="4">
        <v>74.106450120000005</v>
      </c>
      <c r="F205" s="4">
        <v>2.965419405</v>
      </c>
      <c r="G205" s="4">
        <v>32.290910830000001</v>
      </c>
      <c r="H205" s="2" t="s">
        <v>14</v>
      </c>
      <c r="I205" s="4">
        <v>33.439752550000001</v>
      </c>
      <c r="J205" s="4">
        <v>86.904399839999996</v>
      </c>
      <c r="K205" s="5">
        <v>14.123222459999999</v>
      </c>
      <c r="L205" s="3">
        <v>4</v>
      </c>
      <c r="M205" s="2" t="s">
        <v>762</v>
      </c>
      <c r="N205" s="2" t="s">
        <v>21</v>
      </c>
      <c r="O205" s="4">
        <v>33.677639349428119</v>
      </c>
      <c r="P205" s="2" t="str">
        <f t="shared" si="3"/>
        <v>Outstanding</v>
      </c>
    </row>
    <row r="206" spans="1:16" ht="20.100000000000001" customHeight="1" x14ac:dyDescent="0.3">
      <c r="A206" s="2" t="s">
        <v>31</v>
      </c>
      <c r="B206" s="2" t="s">
        <v>22</v>
      </c>
      <c r="C206" s="3">
        <v>75</v>
      </c>
      <c r="D206" s="2" t="s">
        <v>758</v>
      </c>
      <c r="E206" s="4">
        <v>16.561064330000001</v>
      </c>
      <c r="F206" s="4">
        <v>3.5909657180000001</v>
      </c>
      <c r="G206" s="4">
        <v>19.769098719999999</v>
      </c>
      <c r="H206" s="2" t="s">
        <v>17</v>
      </c>
      <c r="I206" s="4">
        <v>25.775415389999999</v>
      </c>
      <c r="J206" s="4">
        <v>69.201229100000006</v>
      </c>
      <c r="K206" s="5">
        <v>34.110348639999998</v>
      </c>
      <c r="L206" s="3">
        <v>7</v>
      </c>
      <c r="M206" s="2" t="s">
        <v>763</v>
      </c>
      <c r="N206" s="2" t="s">
        <v>15</v>
      </c>
      <c r="O206" s="4">
        <v>5.3938327082542958</v>
      </c>
      <c r="P206" s="2" t="str">
        <f t="shared" si="3"/>
        <v>Acceptable</v>
      </c>
    </row>
    <row r="207" spans="1:16" ht="20.100000000000001" customHeight="1" x14ac:dyDescent="0.3">
      <c r="A207" s="2" t="s">
        <v>92</v>
      </c>
      <c r="B207" s="2" t="s">
        <v>769</v>
      </c>
      <c r="C207" s="3">
        <v>62</v>
      </c>
      <c r="D207" s="2" t="s">
        <v>761</v>
      </c>
      <c r="E207" s="4">
        <v>45.992961370000003</v>
      </c>
      <c r="F207" s="4">
        <v>2.8457057030000001</v>
      </c>
      <c r="G207" s="4">
        <v>30.603528099999998</v>
      </c>
      <c r="H207" s="2" t="s">
        <v>28</v>
      </c>
      <c r="I207" s="4">
        <v>34.86960938</v>
      </c>
      <c r="J207" s="4">
        <v>77.636593529999999</v>
      </c>
      <c r="K207" s="5">
        <v>3.8499140010000001</v>
      </c>
      <c r="L207" s="3">
        <v>6</v>
      </c>
      <c r="M207" s="2" t="s">
        <v>763</v>
      </c>
      <c r="N207" s="2" t="s">
        <v>15</v>
      </c>
      <c r="O207" s="4">
        <v>12.195277549518584</v>
      </c>
      <c r="P207" s="2" t="str">
        <f t="shared" si="3"/>
        <v>Superior</v>
      </c>
    </row>
    <row r="208" spans="1:16" ht="20.100000000000001" customHeight="1" x14ac:dyDescent="0.3">
      <c r="A208" s="2" t="s">
        <v>93</v>
      </c>
      <c r="B208" s="2" t="s">
        <v>768</v>
      </c>
      <c r="C208" s="3">
        <v>50</v>
      </c>
      <c r="D208" s="2" t="s">
        <v>758</v>
      </c>
      <c r="E208" s="4">
        <v>78.693419219999996</v>
      </c>
      <c r="F208" s="4">
        <v>2.8560625650000002</v>
      </c>
      <c r="G208" s="4">
        <v>36.562556370000003</v>
      </c>
      <c r="H208" s="2" t="s">
        <v>14</v>
      </c>
      <c r="I208" s="4">
        <v>38.190620729999999</v>
      </c>
      <c r="J208" s="4">
        <v>82.434489229999997</v>
      </c>
      <c r="K208" s="5">
        <v>12.737924550000001</v>
      </c>
      <c r="L208" s="3">
        <v>7</v>
      </c>
      <c r="M208" s="2" t="s">
        <v>762</v>
      </c>
      <c r="N208" s="2" t="s">
        <v>21</v>
      </c>
      <c r="O208" s="4">
        <v>17.40850645892526</v>
      </c>
      <c r="P208" s="2" t="str">
        <f t="shared" si="3"/>
        <v>Superior</v>
      </c>
    </row>
    <row r="209" spans="1:16" ht="20.100000000000001" customHeight="1" x14ac:dyDescent="0.3">
      <c r="A209" s="2" t="s">
        <v>94</v>
      </c>
      <c r="B209" s="2" t="s">
        <v>768</v>
      </c>
      <c r="C209" s="3">
        <v>93.094869549999999</v>
      </c>
      <c r="D209" s="2" t="s">
        <v>761</v>
      </c>
      <c r="E209" s="4">
        <v>68.030024859999997</v>
      </c>
      <c r="F209" s="4">
        <v>1.5169722910000001</v>
      </c>
      <c r="G209" s="4">
        <v>16.395516799999999</v>
      </c>
      <c r="H209" s="2" t="s">
        <v>17</v>
      </c>
      <c r="I209" s="4">
        <v>50.700247410000003</v>
      </c>
      <c r="J209" s="4">
        <v>60.745990620000001</v>
      </c>
      <c r="K209" s="5">
        <v>34.792821289999999</v>
      </c>
      <c r="L209" s="3">
        <v>0</v>
      </c>
      <c r="M209" s="2" t="s">
        <v>763</v>
      </c>
      <c r="N209" s="2" t="s">
        <v>18</v>
      </c>
      <c r="O209" s="4">
        <v>6.3622165913266739</v>
      </c>
      <c r="P209" s="2" t="str">
        <f t="shared" si="3"/>
        <v>Acceptable</v>
      </c>
    </row>
    <row r="210" spans="1:16" ht="20.100000000000001" customHeight="1" x14ac:dyDescent="0.3">
      <c r="A210" s="2" t="s">
        <v>95</v>
      </c>
      <c r="B210" s="2" t="s">
        <v>768</v>
      </c>
      <c r="C210" s="3">
        <v>85</v>
      </c>
      <c r="D210" s="2" t="s">
        <v>758</v>
      </c>
      <c r="E210" s="4">
        <v>40.248382599999999</v>
      </c>
      <c r="F210" s="4">
        <v>3.6354899000000001</v>
      </c>
      <c r="G210" s="4">
        <v>33.732264260000001</v>
      </c>
      <c r="H210" s="2" t="s">
        <v>28</v>
      </c>
      <c r="I210" s="4">
        <v>45.027313399999997</v>
      </c>
      <c r="J210" s="4">
        <v>77.802879709999999</v>
      </c>
      <c r="K210" s="5">
        <v>38.968136010000002</v>
      </c>
      <c r="L210" s="3">
        <v>6</v>
      </c>
      <c r="M210" s="2" t="s">
        <v>764</v>
      </c>
      <c r="N210" s="2" t="s">
        <v>15</v>
      </c>
      <c r="O210" s="4">
        <v>11.212890028600677</v>
      </c>
      <c r="P210" s="2" t="str">
        <f t="shared" si="3"/>
        <v>Superior</v>
      </c>
    </row>
    <row r="211" spans="1:16" ht="20.100000000000001" customHeight="1" x14ac:dyDescent="0.3">
      <c r="A211" s="2" t="s">
        <v>96</v>
      </c>
      <c r="B211" s="2" t="s">
        <v>768</v>
      </c>
      <c r="C211" s="3">
        <v>100</v>
      </c>
      <c r="D211" s="2" t="s">
        <v>759</v>
      </c>
      <c r="E211" s="4">
        <v>74.280734839999994</v>
      </c>
      <c r="F211" s="4">
        <v>1.0613444679999999</v>
      </c>
      <c r="G211" s="4">
        <v>41.341801240000002</v>
      </c>
      <c r="H211" s="2" t="s">
        <v>14</v>
      </c>
      <c r="I211" s="4">
        <v>66.005133799999996</v>
      </c>
      <c r="J211" s="4">
        <v>82.71272304</v>
      </c>
      <c r="K211" s="5">
        <v>4.7618554670000002</v>
      </c>
      <c r="L211" s="3">
        <v>7</v>
      </c>
      <c r="M211" s="2" t="s">
        <v>763</v>
      </c>
      <c r="N211" s="2" t="s">
        <v>18</v>
      </c>
      <c r="O211" s="4">
        <v>12.410520061520774</v>
      </c>
      <c r="P211" s="2" t="str">
        <f t="shared" si="3"/>
        <v>Superior</v>
      </c>
    </row>
    <row r="212" spans="1:16" ht="20.100000000000001" customHeight="1" x14ac:dyDescent="0.3">
      <c r="A212" s="2" t="s">
        <v>97</v>
      </c>
      <c r="B212" s="2" t="s">
        <v>768</v>
      </c>
      <c r="C212" s="3">
        <v>100</v>
      </c>
      <c r="D212" s="2" t="s">
        <v>759</v>
      </c>
      <c r="E212" s="4">
        <v>52.884130300000002</v>
      </c>
      <c r="F212" s="4">
        <v>1.2769826580000001</v>
      </c>
      <c r="G212" s="4">
        <v>35.525961629999998</v>
      </c>
      <c r="H212" s="2" t="s">
        <v>28</v>
      </c>
      <c r="I212" s="4">
        <v>30.595359609999999</v>
      </c>
      <c r="J212" s="4">
        <v>76.028269809999998</v>
      </c>
      <c r="K212" s="5">
        <v>19.189280920000002</v>
      </c>
      <c r="L212" s="3">
        <v>0</v>
      </c>
      <c r="M212" s="2" t="s">
        <v>762</v>
      </c>
      <c r="N212" s="2" t="s">
        <v>15</v>
      </c>
      <c r="O212" s="4">
        <v>24.026799429249991</v>
      </c>
      <c r="P212" s="2" t="str">
        <f t="shared" si="3"/>
        <v>Outstanding</v>
      </c>
    </row>
    <row r="213" spans="1:16" ht="20.100000000000001" customHeight="1" x14ac:dyDescent="0.3">
      <c r="A213" s="2" t="s">
        <v>98</v>
      </c>
      <c r="B213" s="2" t="s">
        <v>770</v>
      </c>
      <c r="C213" s="3">
        <v>50</v>
      </c>
      <c r="D213" s="2" t="s">
        <v>761</v>
      </c>
      <c r="E213" s="4">
        <v>34.96988837</v>
      </c>
      <c r="F213" s="4">
        <v>2.4966027039999998</v>
      </c>
      <c r="G213" s="4">
        <v>19.6515445</v>
      </c>
      <c r="H213" s="2" t="s">
        <v>28</v>
      </c>
      <c r="I213" s="4">
        <v>36.732618070000001</v>
      </c>
      <c r="J213" s="4">
        <v>69.4076144</v>
      </c>
      <c r="K213" s="5">
        <v>9.5984911870000005</v>
      </c>
      <c r="L213" s="3">
        <v>4</v>
      </c>
      <c r="M213" s="2" t="s">
        <v>763</v>
      </c>
      <c r="N213" s="2" t="s">
        <v>15</v>
      </c>
      <c r="O213" s="4">
        <v>5.7132048707512979</v>
      </c>
      <c r="P213" s="2" t="str">
        <f t="shared" si="3"/>
        <v>Acceptable</v>
      </c>
    </row>
    <row r="214" spans="1:16" ht="20.100000000000001" customHeight="1" x14ac:dyDescent="0.3">
      <c r="A214" s="2" t="s">
        <v>99</v>
      </c>
      <c r="B214" s="2" t="s">
        <v>770</v>
      </c>
      <c r="C214" s="3">
        <v>85</v>
      </c>
      <c r="D214" s="2" t="s">
        <v>760</v>
      </c>
      <c r="E214" s="4">
        <v>55.917563170000001</v>
      </c>
      <c r="F214" s="4">
        <v>2.5532165949999999</v>
      </c>
      <c r="G214" s="4">
        <v>6.6388071430000002</v>
      </c>
      <c r="H214" s="2" t="s">
        <v>28</v>
      </c>
      <c r="I214" s="4">
        <v>46.86961642</v>
      </c>
      <c r="J214" s="4">
        <v>67.959377669999995</v>
      </c>
      <c r="K214" s="5">
        <v>15.16931484</v>
      </c>
      <c r="L214" s="3">
        <v>6</v>
      </c>
      <c r="M214" s="2" t="s">
        <v>764</v>
      </c>
      <c r="N214" s="2" t="s">
        <v>15</v>
      </c>
      <c r="O214" s="4">
        <v>10.02394848396529</v>
      </c>
      <c r="P214" s="2" t="str">
        <f t="shared" si="3"/>
        <v>Superior</v>
      </c>
    </row>
    <row r="215" spans="1:16" ht="20.100000000000001" customHeight="1" x14ac:dyDescent="0.3">
      <c r="A215" s="2" t="s">
        <v>100</v>
      </c>
      <c r="B215" s="2" t="s">
        <v>770</v>
      </c>
      <c r="C215" s="3">
        <v>62</v>
      </c>
      <c r="D215" s="2" t="s">
        <v>761</v>
      </c>
      <c r="E215" s="4">
        <v>76.598012049999994</v>
      </c>
      <c r="F215" s="4">
        <v>3.320835389</v>
      </c>
      <c r="G215" s="4">
        <v>31.597204829999999</v>
      </c>
      <c r="H215" s="2" t="s">
        <v>17</v>
      </c>
      <c r="I215" s="4">
        <v>69.313591270000003</v>
      </c>
      <c r="J215" s="4">
        <v>92.69136039</v>
      </c>
      <c r="K215" s="5">
        <v>31.24889263</v>
      </c>
      <c r="L215" s="3">
        <v>3</v>
      </c>
      <c r="M215" s="2" t="s">
        <v>764</v>
      </c>
      <c r="N215" s="2" t="s">
        <v>18</v>
      </c>
      <c r="O215" s="4">
        <v>11.102281972686439</v>
      </c>
      <c r="P215" s="2" t="str">
        <f t="shared" si="3"/>
        <v>Superior</v>
      </c>
    </row>
    <row r="216" spans="1:16" ht="20.100000000000001" customHeight="1" x14ac:dyDescent="0.3">
      <c r="A216" s="2" t="s">
        <v>101</v>
      </c>
      <c r="B216" s="2" t="s">
        <v>770</v>
      </c>
      <c r="C216" s="3">
        <v>100</v>
      </c>
      <c r="D216" s="2" t="s">
        <v>760</v>
      </c>
      <c r="E216" s="4">
        <v>20.255975159999998</v>
      </c>
      <c r="F216" s="4">
        <v>1.351703592</v>
      </c>
      <c r="G216" s="4">
        <v>3.0234852820000002</v>
      </c>
      <c r="H216" s="2" t="s">
        <v>14</v>
      </c>
      <c r="I216" s="4">
        <v>79.649885069999996</v>
      </c>
      <c r="J216" s="4">
        <v>88.237019570000001</v>
      </c>
      <c r="K216" s="5">
        <v>36.545063980000002</v>
      </c>
      <c r="L216" s="3">
        <v>0</v>
      </c>
      <c r="M216" s="2" t="s">
        <v>762</v>
      </c>
      <c r="N216" s="2" t="s">
        <v>18</v>
      </c>
      <c r="O216" s="4">
        <v>1.739407831275791</v>
      </c>
      <c r="P216" s="2" t="str">
        <f t="shared" si="3"/>
        <v>Low</v>
      </c>
    </row>
    <row r="217" spans="1:16" ht="20.100000000000001" customHeight="1" x14ac:dyDescent="0.3">
      <c r="A217" s="2" t="s">
        <v>102</v>
      </c>
      <c r="B217" s="2" t="s">
        <v>771</v>
      </c>
      <c r="C217" s="3">
        <v>58.0121307</v>
      </c>
      <c r="D217" s="2" t="s">
        <v>759</v>
      </c>
      <c r="E217" s="4">
        <v>48.99847458</v>
      </c>
      <c r="F217" s="4">
        <v>3.7364814719999999</v>
      </c>
      <c r="G217" s="4">
        <v>2.5609434339999999</v>
      </c>
      <c r="H217" s="2" t="s">
        <v>28</v>
      </c>
      <c r="I217" s="4">
        <v>15.60051543</v>
      </c>
      <c r="J217" s="4">
        <v>98.00224206</v>
      </c>
      <c r="K217" s="5">
        <v>15.563710329999999</v>
      </c>
      <c r="L217" s="3">
        <v>6</v>
      </c>
      <c r="M217" s="2" t="s">
        <v>763</v>
      </c>
      <c r="N217" s="2" t="s">
        <v>21</v>
      </c>
      <c r="O217" s="4">
        <v>23.422739505827426</v>
      </c>
      <c r="P217" s="2" t="str">
        <f t="shared" si="3"/>
        <v>Outstanding</v>
      </c>
    </row>
    <row r="218" spans="1:16" ht="20.100000000000001" customHeight="1" x14ac:dyDescent="0.3">
      <c r="A218" s="2" t="s">
        <v>103</v>
      </c>
      <c r="B218" s="2" t="s">
        <v>770</v>
      </c>
      <c r="C218" s="3">
        <v>85</v>
      </c>
      <c r="D218" s="2" t="s">
        <v>760</v>
      </c>
      <c r="E218" s="4">
        <v>10.277608089999999</v>
      </c>
      <c r="F218" s="4">
        <v>2.3616183519999998</v>
      </c>
      <c r="G218" s="4">
        <v>45.686691799999998</v>
      </c>
      <c r="H218" s="2" t="s">
        <v>17</v>
      </c>
      <c r="I218" s="4">
        <v>27.840014480000001</v>
      </c>
      <c r="J218" s="4">
        <v>52.205507969999999</v>
      </c>
      <c r="K218" s="5">
        <v>35.094058769999997</v>
      </c>
      <c r="L218" s="3">
        <v>1.803488242</v>
      </c>
      <c r="M218" s="2" t="s">
        <v>763</v>
      </c>
      <c r="N218" s="2" t="s">
        <v>21</v>
      </c>
      <c r="O218" s="4">
        <v>2.1285614405821631</v>
      </c>
      <c r="P218" s="2" t="str">
        <f t="shared" si="3"/>
        <v>Low</v>
      </c>
    </row>
    <row r="219" spans="1:16" ht="20.100000000000001" customHeight="1" x14ac:dyDescent="0.3">
      <c r="A219" s="2" t="s">
        <v>104</v>
      </c>
      <c r="B219" s="2" t="s">
        <v>770</v>
      </c>
      <c r="C219" s="3">
        <v>62</v>
      </c>
      <c r="D219" s="2" t="s">
        <v>760</v>
      </c>
      <c r="E219" s="4">
        <v>69.105546390000001</v>
      </c>
      <c r="F219" s="4">
        <v>3.2751936599999998</v>
      </c>
      <c r="G219" s="4">
        <v>22.98621554</v>
      </c>
      <c r="H219" s="2" t="s">
        <v>24</v>
      </c>
      <c r="I219" s="4">
        <v>58.584723279999999</v>
      </c>
      <c r="J219" s="4">
        <v>62.962582040000001</v>
      </c>
      <c r="K219" s="5">
        <v>1.496665178</v>
      </c>
      <c r="L219" s="3">
        <v>1</v>
      </c>
      <c r="M219" s="2" t="s">
        <v>763</v>
      </c>
      <c r="N219" s="2" t="s">
        <v>21</v>
      </c>
      <c r="O219" s="4">
        <v>1.8757127940938978</v>
      </c>
      <c r="P219" s="2" t="str">
        <f t="shared" si="3"/>
        <v>Low</v>
      </c>
    </row>
    <row r="220" spans="1:16" ht="20.100000000000001" customHeight="1" x14ac:dyDescent="0.3">
      <c r="A220" s="2" t="s">
        <v>105</v>
      </c>
      <c r="B220" s="2" t="s">
        <v>768</v>
      </c>
      <c r="C220" s="3">
        <v>75</v>
      </c>
      <c r="D220" s="2" t="s">
        <v>758</v>
      </c>
      <c r="E220" s="4">
        <v>54.640879099999999</v>
      </c>
      <c r="F220" s="4">
        <v>3.2496621389999998</v>
      </c>
      <c r="G220" s="4">
        <v>19.709488489999998</v>
      </c>
      <c r="H220" s="2" t="s">
        <v>17</v>
      </c>
      <c r="I220" s="4">
        <v>27.0170636</v>
      </c>
      <c r="J220" s="4">
        <v>85.536758930000005</v>
      </c>
      <c r="K220" s="5">
        <v>12.629501279999999</v>
      </c>
      <c r="L220" s="3">
        <v>5</v>
      </c>
      <c r="M220" s="2" t="s">
        <v>762</v>
      </c>
      <c r="N220" s="2" t="s">
        <v>15</v>
      </c>
      <c r="O220" s="4">
        <v>23.981756981215241</v>
      </c>
      <c r="P220" s="2" t="str">
        <f t="shared" si="3"/>
        <v>Outstanding</v>
      </c>
    </row>
    <row r="221" spans="1:16" ht="20.100000000000001" customHeight="1" x14ac:dyDescent="0.3">
      <c r="A221" s="2" t="s">
        <v>106</v>
      </c>
      <c r="B221" s="2" t="s">
        <v>771</v>
      </c>
      <c r="C221" s="3">
        <v>75</v>
      </c>
      <c r="D221" s="2" t="s">
        <v>757</v>
      </c>
      <c r="E221" s="4">
        <v>67.891190530000003</v>
      </c>
      <c r="F221" s="4">
        <v>3.007291693</v>
      </c>
      <c r="G221" s="4">
        <v>9.6846869760000001</v>
      </c>
      <c r="H221" s="2" t="s">
        <v>24</v>
      </c>
      <c r="I221" s="4">
        <v>64.314301569999998</v>
      </c>
      <c r="J221" s="4">
        <v>77.582616189999996</v>
      </c>
      <c r="K221" s="5">
        <v>16.317675470000001</v>
      </c>
      <c r="L221" s="3">
        <v>6</v>
      </c>
      <c r="M221" s="2" t="s">
        <v>763</v>
      </c>
      <c r="N221" s="2" t="s">
        <v>18</v>
      </c>
      <c r="O221" s="4">
        <v>6.7560125690880328</v>
      </c>
      <c r="P221" s="2" t="str">
        <f t="shared" si="3"/>
        <v>Acceptable</v>
      </c>
    </row>
    <row r="222" spans="1:16" ht="20.100000000000001" customHeight="1" x14ac:dyDescent="0.3">
      <c r="A222" s="2" t="s">
        <v>32</v>
      </c>
      <c r="B222" s="2" t="s">
        <v>768</v>
      </c>
      <c r="C222" s="3">
        <v>97.681812230000006</v>
      </c>
      <c r="D222" s="2" t="s">
        <v>760</v>
      </c>
      <c r="E222" s="4">
        <v>24.726937679999999</v>
      </c>
      <c r="F222" s="4">
        <v>3.4586802790000002</v>
      </c>
      <c r="G222" s="4">
        <v>49.402738620000001</v>
      </c>
      <c r="H222" s="2" t="s">
        <v>14</v>
      </c>
      <c r="I222" s="4">
        <v>67.591970910000001</v>
      </c>
      <c r="J222" s="4">
        <v>89.942229359999999</v>
      </c>
      <c r="K222" s="5">
        <v>4.4153296190000004</v>
      </c>
      <c r="L222" s="3">
        <v>7</v>
      </c>
      <c r="M222" s="2" t="s">
        <v>764</v>
      </c>
      <c r="N222" s="2" t="s">
        <v>15</v>
      </c>
      <c r="O222" s="4">
        <v>5.398419031870799</v>
      </c>
      <c r="P222" s="2" t="str">
        <f t="shared" si="3"/>
        <v>Acceptable</v>
      </c>
    </row>
    <row r="223" spans="1:16" ht="20.100000000000001" customHeight="1" x14ac:dyDescent="0.3">
      <c r="A223" s="2" t="s">
        <v>107</v>
      </c>
      <c r="B223" s="2" t="s">
        <v>768</v>
      </c>
      <c r="C223" s="3">
        <v>85</v>
      </c>
      <c r="D223" s="2" t="s">
        <v>758</v>
      </c>
      <c r="E223" s="4">
        <v>56.017831540000003</v>
      </c>
      <c r="F223" s="4">
        <v>1.040974023</v>
      </c>
      <c r="G223" s="4">
        <v>37.853078480000001</v>
      </c>
      <c r="H223" s="2" t="s">
        <v>14</v>
      </c>
      <c r="I223" s="4">
        <v>18.037296919999999</v>
      </c>
      <c r="J223" s="4">
        <v>61.931297440000002</v>
      </c>
      <c r="K223" s="5">
        <v>11.492756180000001</v>
      </c>
      <c r="L223" s="3">
        <v>7</v>
      </c>
      <c r="M223" s="2" t="s">
        <v>762</v>
      </c>
      <c r="N223" s="2" t="s">
        <v>21</v>
      </c>
      <c r="O223" s="4">
        <v>20.90019717734128</v>
      </c>
      <c r="P223" s="2" t="str">
        <f t="shared" si="3"/>
        <v>Outstanding</v>
      </c>
    </row>
    <row r="224" spans="1:16" ht="20.100000000000001" customHeight="1" x14ac:dyDescent="0.3">
      <c r="A224" s="2" t="s">
        <v>108</v>
      </c>
      <c r="B224" s="2" t="s">
        <v>770</v>
      </c>
      <c r="C224" s="3">
        <v>85</v>
      </c>
      <c r="D224" s="2" t="s">
        <v>758</v>
      </c>
      <c r="E224" s="4">
        <v>127.75747440000001</v>
      </c>
      <c r="F224" s="4">
        <v>0.98454922099999997</v>
      </c>
      <c r="G224" s="4">
        <v>9.2864977</v>
      </c>
      <c r="H224" s="2" t="s">
        <v>28</v>
      </c>
      <c r="I224" s="4">
        <v>27.645445890000001</v>
      </c>
      <c r="J224" s="4">
        <v>90.299922730000006</v>
      </c>
      <c r="K224" s="5">
        <v>18.405333150000001</v>
      </c>
      <c r="L224" s="3">
        <v>1</v>
      </c>
      <c r="M224" s="2" t="s">
        <v>763</v>
      </c>
      <c r="N224" s="2" t="s">
        <v>18</v>
      </c>
      <c r="O224" s="4">
        <v>68.038910627919392</v>
      </c>
      <c r="P224" s="2" t="str">
        <f t="shared" si="3"/>
        <v>Outstanding</v>
      </c>
    </row>
    <row r="225" spans="1:16" ht="20.100000000000001" customHeight="1" x14ac:dyDescent="0.3">
      <c r="A225" s="2" t="s">
        <v>109</v>
      </c>
      <c r="B225" s="2" t="s">
        <v>770</v>
      </c>
      <c r="C225" s="3">
        <v>100</v>
      </c>
      <c r="D225" s="2" t="s">
        <v>760</v>
      </c>
      <c r="E225" s="4">
        <v>13.87716709</v>
      </c>
      <c r="F225" s="4">
        <v>0.52129158799999997</v>
      </c>
      <c r="G225" s="4">
        <v>9.9134190239999995</v>
      </c>
      <c r="H225" s="2" t="s">
        <v>28</v>
      </c>
      <c r="I225" s="4">
        <v>40.799355820000002</v>
      </c>
      <c r="J225" s="4">
        <v>71.379036850000006</v>
      </c>
      <c r="K225" s="5">
        <v>24.759622239999999</v>
      </c>
      <c r="L225" s="3">
        <v>5</v>
      </c>
      <c r="M225" s="2" t="s">
        <v>763</v>
      </c>
      <c r="N225" s="2" t="s">
        <v>15</v>
      </c>
      <c r="O225" s="4">
        <v>4.2435934321221342</v>
      </c>
      <c r="P225" s="2" t="str">
        <f t="shared" si="3"/>
        <v>Acceptable</v>
      </c>
    </row>
    <row r="226" spans="1:16" ht="20.100000000000001" customHeight="1" x14ac:dyDescent="0.3">
      <c r="A226" s="2" t="s">
        <v>110</v>
      </c>
      <c r="B226" s="2" t="s">
        <v>768</v>
      </c>
      <c r="C226" s="3">
        <v>100</v>
      </c>
      <c r="D226" s="2" t="s">
        <v>757</v>
      </c>
      <c r="E226" s="4">
        <v>47.824367850000002</v>
      </c>
      <c r="F226" s="4">
        <v>2.0468743809999999</v>
      </c>
      <c r="G226" s="4">
        <v>6.0827784869999997</v>
      </c>
      <c r="H226" s="2" t="s">
        <v>28</v>
      </c>
      <c r="I226" s="4">
        <v>61.578046909999998</v>
      </c>
      <c r="J226" s="4">
        <v>97.961895229999996</v>
      </c>
      <c r="K226" s="5">
        <v>7.1668681010000004</v>
      </c>
      <c r="L226" s="3">
        <v>2</v>
      </c>
      <c r="M226" s="2" t="s">
        <v>762</v>
      </c>
      <c r="N226" s="2" t="s">
        <v>18</v>
      </c>
      <c r="O226" s="4">
        <v>17.400345458542844</v>
      </c>
      <c r="P226" s="2" t="str">
        <f t="shared" si="3"/>
        <v>Superior</v>
      </c>
    </row>
    <row r="227" spans="1:16" ht="20.100000000000001" customHeight="1" x14ac:dyDescent="0.3">
      <c r="A227" s="2" t="s">
        <v>111</v>
      </c>
      <c r="B227" s="2" t="s">
        <v>768</v>
      </c>
      <c r="C227" s="3">
        <v>50</v>
      </c>
      <c r="D227" s="2" t="s">
        <v>758</v>
      </c>
      <c r="E227" s="4">
        <v>71.142746360000004</v>
      </c>
      <c r="F227" s="4">
        <v>1.7251361549999999</v>
      </c>
      <c r="G227" s="4">
        <v>14.829910979999999</v>
      </c>
      <c r="H227" s="2" t="s">
        <v>24</v>
      </c>
      <c r="I227" s="4">
        <v>73.160174089999998</v>
      </c>
      <c r="J227" s="4">
        <v>75.754846630000003</v>
      </c>
      <c r="K227" s="5">
        <v>17.42486706</v>
      </c>
      <c r="L227" s="3">
        <v>5</v>
      </c>
      <c r="M227" s="2" t="s">
        <v>764</v>
      </c>
      <c r="N227" s="2" t="s">
        <v>21</v>
      </c>
      <c r="O227" s="4">
        <v>0.92296065200238653</v>
      </c>
      <c r="P227" s="2" t="str">
        <f t="shared" si="3"/>
        <v>Low</v>
      </c>
    </row>
    <row r="228" spans="1:16" ht="20.100000000000001" customHeight="1" x14ac:dyDescent="0.3">
      <c r="A228" s="2" t="s">
        <v>112</v>
      </c>
      <c r="B228" s="2" t="s">
        <v>22</v>
      </c>
      <c r="C228" s="3">
        <v>85</v>
      </c>
      <c r="D228" s="2" t="s">
        <v>760</v>
      </c>
      <c r="E228" s="4">
        <v>6.0886320899999999</v>
      </c>
      <c r="F228" s="4">
        <v>3.2849466139999999</v>
      </c>
      <c r="G228" s="4">
        <v>4.868312092</v>
      </c>
      <c r="H228" s="2" t="s">
        <v>28</v>
      </c>
      <c r="I228" s="4">
        <v>14.45331142</v>
      </c>
      <c r="J228" s="4">
        <v>61.790332419999999</v>
      </c>
      <c r="K228" s="5">
        <v>6.1705566210000002</v>
      </c>
      <c r="L228" s="3">
        <v>2</v>
      </c>
      <c r="M228" s="2" t="s">
        <v>764</v>
      </c>
      <c r="N228" s="2" t="s">
        <v>15</v>
      </c>
      <c r="O228" s="4">
        <v>2.4498504933976331</v>
      </c>
      <c r="P228" s="2" t="str">
        <f t="shared" si="3"/>
        <v>Low</v>
      </c>
    </row>
    <row r="229" spans="1:16" ht="20.100000000000001" customHeight="1" x14ac:dyDescent="0.3">
      <c r="A229" s="2" t="s">
        <v>113</v>
      </c>
      <c r="B229" s="2" t="s">
        <v>770</v>
      </c>
      <c r="C229" s="3">
        <v>95.697780870000003</v>
      </c>
      <c r="D229" s="2" t="s">
        <v>760</v>
      </c>
      <c r="E229" s="4">
        <v>78.83314652</v>
      </c>
      <c r="F229" s="4">
        <v>2.9215836620000002</v>
      </c>
      <c r="G229" s="4">
        <v>8.4246446319999997</v>
      </c>
      <c r="H229" s="2" t="s">
        <v>24</v>
      </c>
      <c r="I229" s="4">
        <v>12.48227539</v>
      </c>
      <c r="J229" s="4">
        <v>78.608593859999999</v>
      </c>
      <c r="K229" s="5">
        <v>4.7608097850000002</v>
      </c>
      <c r="L229" s="3">
        <v>0</v>
      </c>
      <c r="M229" s="2" t="s">
        <v>764</v>
      </c>
      <c r="N229" s="2" t="s">
        <v>18</v>
      </c>
      <c r="O229" s="4">
        <v>49.886734033613401</v>
      </c>
      <c r="P229" s="2" t="str">
        <f t="shared" si="3"/>
        <v>Outstanding</v>
      </c>
    </row>
    <row r="230" spans="1:16" ht="20.100000000000001" customHeight="1" x14ac:dyDescent="0.3">
      <c r="A230" s="2" t="s">
        <v>114</v>
      </c>
      <c r="B230" s="2" t="s">
        <v>769</v>
      </c>
      <c r="C230" s="3">
        <v>100</v>
      </c>
      <c r="D230" s="2" t="s">
        <v>760</v>
      </c>
      <c r="E230" s="4">
        <v>63.236516100000003</v>
      </c>
      <c r="F230" s="4">
        <v>0.83584514200000004</v>
      </c>
      <c r="G230" s="4">
        <v>5.2557999909999999</v>
      </c>
      <c r="H230" s="2" t="s">
        <v>24</v>
      </c>
      <c r="I230" s="4">
        <v>31.109190080000001</v>
      </c>
      <c r="J230" s="4">
        <v>50.163546269999998</v>
      </c>
      <c r="K230" s="5">
        <v>30.790815039999998</v>
      </c>
      <c r="L230" s="3">
        <v>2</v>
      </c>
      <c r="M230" s="2" t="s">
        <v>762</v>
      </c>
      <c r="N230" s="2" t="s">
        <v>18</v>
      </c>
      <c r="O230" s="4">
        <v>12.049311019840696</v>
      </c>
      <c r="P230" s="2" t="str">
        <f t="shared" si="3"/>
        <v>Superior</v>
      </c>
    </row>
    <row r="231" spans="1:16" ht="20.100000000000001" customHeight="1" x14ac:dyDescent="0.3">
      <c r="A231" s="2" t="s">
        <v>33</v>
      </c>
      <c r="B231" s="2" t="s">
        <v>769</v>
      </c>
      <c r="C231" s="3">
        <v>50</v>
      </c>
      <c r="D231" s="2" t="s">
        <v>757</v>
      </c>
      <c r="E231" s="4">
        <v>23.82404047</v>
      </c>
      <c r="F231" s="4">
        <v>0.848218268</v>
      </c>
      <c r="G231" s="4">
        <v>6.6142801249999996</v>
      </c>
      <c r="H231" s="2" t="s">
        <v>14</v>
      </c>
      <c r="I231" s="4">
        <v>57.59519512</v>
      </c>
      <c r="J231" s="4">
        <v>74.961950349999995</v>
      </c>
      <c r="K231" s="5">
        <v>18.405709049999999</v>
      </c>
      <c r="L231" s="3">
        <v>6</v>
      </c>
      <c r="M231" s="2" t="s">
        <v>763</v>
      </c>
      <c r="N231" s="2" t="s">
        <v>18</v>
      </c>
      <c r="O231" s="4">
        <v>2.0687313971605206</v>
      </c>
      <c r="P231" s="2" t="str">
        <f t="shared" si="3"/>
        <v>Low</v>
      </c>
    </row>
    <row r="232" spans="1:16" ht="20.100000000000001" customHeight="1" x14ac:dyDescent="0.3">
      <c r="A232" s="2" t="s">
        <v>115</v>
      </c>
      <c r="B232" s="2" t="s">
        <v>770</v>
      </c>
      <c r="C232" s="3">
        <v>50</v>
      </c>
      <c r="D232" s="2" t="s">
        <v>761</v>
      </c>
      <c r="E232" s="4">
        <v>50.161380880000003</v>
      </c>
      <c r="F232" s="4">
        <v>3.9844182639999999</v>
      </c>
      <c r="G232" s="4">
        <v>29.087280549999999</v>
      </c>
      <c r="H232" s="2" t="s">
        <v>28</v>
      </c>
      <c r="I232" s="4">
        <v>62.133279659999999</v>
      </c>
      <c r="J232" s="4">
        <v>95.396126870000003</v>
      </c>
      <c r="K232" s="5">
        <v>18.459977609999999</v>
      </c>
      <c r="L232" s="3">
        <v>7</v>
      </c>
      <c r="M232" s="2" t="s">
        <v>764</v>
      </c>
      <c r="N232" s="2" t="s">
        <v>18</v>
      </c>
      <c r="O232" s="4">
        <v>8.3425517402702773</v>
      </c>
      <c r="P232" s="2" t="str">
        <f t="shared" si="3"/>
        <v>Acceptable</v>
      </c>
    </row>
    <row r="233" spans="1:16" ht="20.100000000000001" customHeight="1" x14ac:dyDescent="0.3">
      <c r="A233" s="2" t="s">
        <v>116</v>
      </c>
      <c r="B233" s="2" t="s">
        <v>771</v>
      </c>
      <c r="C233" s="3">
        <v>50</v>
      </c>
      <c r="D233" s="2" t="s">
        <v>759</v>
      </c>
      <c r="E233" s="4">
        <v>61.000322359999998</v>
      </c>
      <c r="F233" s="4">
        <v>3.02652484</v>
      </c>
      <c r="G233" s="4">
        <v>5.7204652600000001</v>
      </c>
      <c r="H233" s="2" t="s">
        <v>17</v>
      </c>
      <c r="I233" s="4">
        <v>44.945246930000003</v>
      </c>
      <c r="J233" s="4">
        <v>66.195820060000003</v>
      </c>
      <c r="K233" s="5">
        <v>27.54479108</v>
      </c>
      <c r="L233" s="3">
        <v>6</v>
      </c>
      <c r="M233" s="2" t="s">
        <v>763</v>
      </c>
      <c r="N233" s="2" t="s">
        <v>18</v>
      </c>
      <c r="O233" s="4">
        <v>6.4814590563237706</v>
      </c>
      <c r="P233" s="2" t="str">
        <f t="shared" si="3"/>
        <v>Acceptable</v>
      </c>
    </row>
    <row r="234" spans="1:16" ht="20.100000000000001" customHeight="1" x14ac:dyDescent="0.3">
      <c r="A234" s="2" t="s">
        <v>117</v>
      </c>
      <c r="B234" s="2" t="s">
        <v>770</v>
      </c>
      <c r="C234" s="3">
        <v>62</v>
      </c>
      <c r="D234" s="2" t="s">
        <v>758</v>
      </c>
      <c r="E234" s="4">
        <v>47.31460938</v>
      </c>
      <c r="F234" s="4">
        <v>0.96897696899999997</v>
      </c>
      <c r="G234" s="4">
        <v>10.163372949999999</v>
      </c>
      <c r="H234" s="2" t="s">
        <v>24</v>
      </c>
      <c r="I234" s="4">
        <v>40.487987969999999</v>
      </c>
      <c r="J234" s="4">
        <v>98.823533639999994</v>
      </c>
      <c r="K234" s="5">
        <v>23.72798354</v>
      </c>
      <c r="L234" s="3">
        <v>5</v>
      </c>
      <c r="M234" s="2" t="s">
        <v>762</v>
      </c>
      <c r="N234" s="2" t="s">
        <v>18</v>
      </c>
      <c r="O234" s="4">
        <v>17.112766049340241</v>
      </c>
      <c r="P234" s="2" t="str">
        <f t="shared" si="3"/>
        <v>Superior</v>
      </c>
    </row>
    <row r="235" spans="1:16" ht="20.100000000000001" customHeight="1" x14ac:dyDescent="0.3">
      <c r="A235" s="2" t="s">
        <v>118</v>
      </c>
      <c r="B235" s="2" t="s">
        <v>768</v>
      </c>
      <c r="C235" s="3">
        <v>50</v>
      </c>
      <c r="D235" s="2" t="s">
        <v>761</v>
      </c>
      <c r="E235" s="4">
        <v>10.64015216</v>
      </c>
      <c r="F235" s="4">
        <v>3.0806034580000001</v>
      </c>
      <c r="G235" s="4">
        <v>19.167160979999998</v>
      </c>
      <c r="H235" s="2" t="s">
        <v>17</v>
      </c>
      <c r="I235" s="4">
        <v>66.576069840000002</v>
      </c>
      <c r="J235" s="4">
        <v>69.157657799999996</v>
      </c>
      <c r="K235" s="5">
        <v>20.623514069999999</v>
      </c>
      <c r="L235" s="3">
        <v>6</v>
      </c>
      <c r="M235" s="2" t="s">
        <v>763</v>
      </c>
      <c r="N235" s="2" t="s">
        <v>21</v>
      </c>
      <c r="O235" s="4">
        <v>0.13734244354411959</v>
      </c>
      <c r="P235" s="2" t="str">
        <f t="shared" si="3"/>
        <v>Low</v>
      </c>
    </row>
    <row r="236" spans="1:16" ht="20.100000000000001" customHeight="1" x14ac:dyDescent="0.3">
      <c r="A236" s="2" t="s">
        <v>119</v>
      </c>
      <c r="B236" s="2" t="s">
        <v>770</v>
      </c>
      <c r="C236" s="3">
        <v>85</v>
      </c>
      <c r="D236" s="2" t="s">
        <v>757</v>
      </c>
      <c r="E236" s="4">
        <v>36.15792622</v>
      </c>
      <c r="F236" s="4">
        <v>3.1018270769999998</v>
      </c>
      <c r="G236" s="4">
        <v>46.328098969999999</v>
      </c>
      <c r="H236" s="2" t="s">
        <v>14</v>
      </c>
      <c r="I236" s="4">
        <v>12.666303600000001</v>
      </c>
      <c r="J236" s="4">
        <v>86.883277640000003</v>
      </c>
      <c r="K236" s="5">
        <v>28.730037320000001</v>
      </c>
      <c r="L236" s="3">
        <v>2</v>
      </c>
      <c r="M236" s="2" t="s">
        <v>763</v>
      </c>
      <c r="N236" s="2" t="s">
        <v>18</v>
      </c>
      <c r="O236" s="4">
        <v>22.810020908684788</v>
      </c>
      <c r="P236" s="2" t="str">
        <f t="shared" si="3"/>
        <v>Outstanding</v>
      </c>
    </row>
    <row r="237" spans="1:16" ht="20.100000000000001" customHeight="1" x14ac:dyDescent="0.3">
      <c r="A237" s="2" t="s">
        <v>120</v>
      </c>
      <c r="B237" s="2" t="s">
        <v>771</v>
      </c>
      <c r="C237" s="3">
        <v>50</v>
      </c>
      <c r="D237" s="2" t="s">
        <v>758</v>
      </c>
      <c r="E237" s="4">
        <v>8.3495912279999995</v>
      </c>
      <c r="F237" s="4">
        <v>2.3126750619999998</v>
      </c>
      <c r="G237" s="4">
        <v>47.482189490000003</v>
      </c>
      <c r="H237" s="2" t="s">
        <v>17</v>
      </c>
      <c r="I237" s="4">
        <v>43.322051909999999</v>
      </c>
      <c r="J237" s="4">
        <v>62.970687550000001</v>
      </c>
      <c r="K237" s="5">
        <v>3.0496907700000002</v>
      </c>
      <c r="L237" s="3">
        <v>5</v>
      </c>
      <c r="M237" s="2" t="s">
        <v>762</v>
      </c>
      <c r="N237" s="2" t="s">
        <v>21</v>
      </c>
      <c r="O237" s="4">
        <v>0.82029037890956091</v>
      </c>
      <c r="P237" s="2" t="str">
        <f t="shared" si="3"/>
        <v>Low</v>
      </c>
    </row>
    <row r="238" spans="1:16" ht="20.100000000000001" customHeight="1" x14ac:dyDescent="0.3">
      <c r="A238" s="2" t="s">
        <v>121</v>
      </c>
      <c r="B238" s="2" t="s">
        <v>768</v>
      </c>
      <c r="C238" s="3">
        <v>85</v>
      </c>
      <c r="D238" s="2" t="s">
        <v>757</v>
      </c>
      <c r="E238" s="4">
        <v>55.979434699999999</v>
      </c>
      <c r="F238" s="4">
        <v>1.106862483</v>
      </c>
      <c r="G238" s="4">
        <v>13.79927221</v>
      </c>
      <c r="H238" s="2" t="s">
        <v>14</v>
      </c>
      <c r="I238" s="4">
        <v>2.3259589950000001</v>
      </c>
      <c r="J238" s="4">
        <v>71.039021790000007</v>
      </c>
      <c r="K238" s="5">
        <v>11.442580469999999</v>
      </c>
      <c r="L238" s="3">
        <v>5</v>
      </c>
      <c r="M238" s="2" t="s">
        <v>762</v>
      </c>
      <c r="N238" s="2" t="s">
        <v>18</v>
      </c>
      <c r="O238" s="4">
        <v>32.695406500042473</v>
      </c>
      <c r="P238" s="2" t="str">
        <f t="shared" si="3"/>
        <v>Outstanding</v>
      </c>
    </row>
    <row r="239" spans="1:16" ht="20.100000000000001" customHeight="1" x14ac:dyDescent="0.3">
      <c r="A239" s="2" t="s">
        <v>122</v>
      </c>
      <c r="B239" s="2" t="s">
        <v>22</v>
      </c>
      <c r="C239" s="3">
        <v>62</v>
      </c>
      <c r="D239" s="2" t="s">
        <v>760</v>
      </c>
      <c r="E239" s="4">
        <v>38.507737589999998</v>
      </c>
      <c r="F239" s="4">
        <v>0.97647754099999995</v>
      </c>
      <c r="G239" s="4">
        <v>15.809921559999999</v>
      </c>
      <c r="H239" s="2" t="s">
        <v>17</v>
      </c>
      <c r="I239" s="4">
        <v>37.913295609999999</v>
      </c>
      <c r="J239" s="4">
        <v>57.536774170000001</v>
      </c>
      <c r="K239" s="5">
        <v>21.384321719999999</v>
      </c>
      <c r="L239" s="3">
        <v>3</v>
      </c>
      <c r="M239" s="2" t="s">
        <v>764</v>
      </c>
      <c r="N239" s="2" t="s">
        <v>15</v>
      </c>
      <c r="O239" s="4">
        <v>4.6850657305471204</v>
      </c>
      <c r="P239" s="2" t="str">
        <f t="shared" si="3"/>
        <v>Acceptable</v>
      </c>
    </row>
    <row r="240" spans="1:16" ht="20.100000000000001" customHeight="1" x14ac:dyDescent="0.3">
      <c r="A240" s="2" t="s">
        <v>123</v>
      </c>
      <c r="B240" s="2" t="s">
        <v>768</v>
      </c>
      <c r="C240" s="3">
        <v>85</v>
      </c>
      <c r="D240" s="2" t="s">
        <v>761</v>
      </c>
      <c r="E240" s="4">
        <v>13.10581202</v>
      </c>
      <c r="F240" s="4">
        <v>0.56906233500000003</v>
      </c>
      <c r="G240" s="4">
        <v>14.554415349999999</v>
      </c>
      <c r="H240" s="2" t="s">
        <v>28</v>
      </c>
      <c r="I240" s="4">
        <v>12.04434277</v>
      </c>
      <c r="J240" s="4">
        <v>91.069539239999997</v>
      </c>
      <c r="K240" s="5">
        <v>1.8566578229999999</v>
      </c>
      <c r="L240" s="3">
        <v>7</v>
      </c>
      <c r="M240" s="2" t="s">
        <v>764</v>
      </c>
      <c r="N240" s="2" t="s">
        <v>18</v>
      </c>
      <c r="O240" s="4">
        <v>8.8033596431247947</v>
      </c>
      <c r="P240" s="2" t="str">
        <f t="shared" si="3"/>
        <v>Acceptable</v>
      </c>
    </row>
    <row r="241" spans="1:16" ht="20.100000000000001" customHeight="1" x14ac:dyDescent="0.3">
      <c r="A241" s="2" t="s">
        <v>16</v>
      </c>
      <c r="B241" s="2" t="s">
        <v>769</v>
      </c>
      <c r="C241" s="3">
        <v>100</v>
      </c>
      <c r="D241" s="2" t="s">
        <v>761</v>
      </c>
      <c r="E241" s="4">
        <v>12.339275199999999</v>
      </c>
      <c r="F241" s="4">
        <v>3.133652053</v>
      </c>
      <c r="G241" s="4">
        <v>30.677734940000001</v>
      </c>
      <c r="H241" s="2" t="s">
        <v>17</v>
      </c>
      <c r="I241" s="4">
        <v>10.115777639999999</v>
      </c>
      <c r="J241" s="4">
        <v>84.664343630000005</v>
      </c>
      <c r="K241" s="5">
        <v>14.31102566</v>
      </c>
      <c r="L241" s="3">
        <v>3</v>
      </c>
      <c r="M241" s="2" t="s">
        <v>762</v>
      </c>
      <c r="N241" s="2" t="s">
        <v>18</v>
      </c>
      <c r="O241" s="4">
        <v>9.1987527151597046</v>
      </c>
      <c r="P241" s="2" t="str">
        <f t="shared" si="3"/>
        <v>Acceptable</v>
      </c>
    </row>
    <row r="242" spans="1:16" ht="20.100000000000001" customHeight="1" x14ac:dyDescent="0.3">
      <c r="A242" s="2" t="s">
        <v>34</v>
      </c>
      <c r="B242" s="2" t="s">
        <v>768</v>
      </c>
      <c r="C242" s="3">
        <v>50</v>
      </c>
      <c r="D242" s="2" t="s">
        <v>759</v>
      </c>
      <c r="E242" s="4">
        <v>48.482484309999997</v>
      </c>
      <c r="F242" s="4">
        <v>2.5809253540000001</v>
      </c>
      <c r="G242" s="4">
        <v>45.29143535</v>
      </c>
      <c r="H242" s="2" t="s">
        <v>17</v>
      </c>
      <c r="I242" s="4">
        <v>12.75487757</v>
      </c>
      <c r="J242" s="4">
        <v>116.09565689999999</v>
      </c>
      <c r="K242" s="5">
        <v>9.2024098920000004</v>
      </c>
      <c r="L242" s="3">
        <v>3</v>
      </c>
      <c r="M242" s="2" t="s">
        <v>763</v>
      </c>
      <c r="N242" s="2" t="s">
        <v>21</v>
      </c>
      <c r="O242" s="4">
        <v>25.051088562249483</v>
      </c>
      <c r="P242" s="2" t="str">
        <f t="shared" si="3"/>
        <v>Outstanding</v>
      </c>
    </row>
    <row r="243" spans="1:16" ht="20.100000000000001" customHeight="1" x14ac:dyDescent="0.3">
      <c r="A243" s="2" t="s">
        <v>124</v>
      </c>
      <c r="B243" s="2" t="s">
        <v>22</v>
      </c>
      <c r="C243" s="3">
        <v>62</v>
      </c>
      <c r="D243" s="2" t="s">
        <v>761</v>
      </c>
      <c r="E243" s="4">
        <v>80.729419280000002</v>
      </c>
      <c r="F243" s="4">
        <v>2.8771910940000001</v>
      </c>
      <c r="G243" s="4">
        <v>36.782097810000003</v>
      </c>
      <c r="H243" s="2" t="s">
        <v>28</v>
      </c>
      <c r="I243" s="4">
        <v>70.515149649999998</v>
      </c>
      <c r="J243" s="4">
        <v>92.974862549999997</v>
      </c>
      <c r="K243" s="5">
        <v>4.7411808009999996</v>
      </c>
      <c r="L243" s="3">
        <v>4</v>
      </c>
      <c r="M243" s="2" t="s">
        <v>762</v>
      </c>
      <c r="N243" s="2" t="s">
        <v>18</v>
      </c>
      <c r="O243" s="4">
        <v>11.241589393597653</v>
      </c>
      <c r="P243" s="2" t="str">
        <f t="shared" si="3"/>
        <v>Superior</v>
      </c>
    </row>
    <row r="244" spans="1:16" ht="20.100000000000001" customHeight="1" x14ac:dyDescent="0.3">
      <c r="A244" s="2" t="s">
        <v>125</v>
      </c>
      <c r="B244" s="2" t="s">
        <v>771</v>
      </c>
      <c r="C244" s="3">
        <v>85</v>
      </c>
      <c r="D244" s="2" t="s">
        <v>760</v>
      </c>
      <c r="E244" s="4">
        <v>53.58667286</v>
      </c>
      <c r="F244" s="4">
        <v>3.4453846370000001</v>
      </c>
      <c r="G244" s="4">
        <v>6.9275065680000001</v>
      </c>
      <c r="H244" s="2" t="s">
        <v>24</v>
      </c>
      <c r="I244" s="4">
        <v>58.073254630000001</v>
      </c>
      <c r="J244" s="4">
        <v>92.265823979999993</v>
      </c>
      <c r="K244" s="5">
        <v>7.3776469540000003</v>
      </c>
      <c r="L244" s="3">
        <v>6.4556122839999999</v>
      </c>
      <c r="M244" s="2" t="s">
        <v>762</v>
      </c>
      <c r="N244" s="2" t="s">
        <v>18</v>
      </c>
      <c r="O244" s="4">
        <v>15.574261238011154</v>
      </c>
      <c r="P244" s="2" t="str">
        <f t="shared" si="3"/>
        <v>Superior</v>
      </c>
    </row>
    <row r="245" spans="1:16" ht="20.100000000000001" customHeight="1" x14ac:dyDescent="0.3">
      <c r="A245" s="2" t="s">
        <v>126</v>
      </c>
      <c r="B245" s="2" t="s">
        <v>768</v>
      </c>
      <c r="C245" s="3">
        <v>100</v>
      </c>
      <c r="D245" s="2" t="s">
        <v>757</v>
      </c>
      <c r="E245" s="4">
        <v>17.854873420000001</v>
      </c>
      <c r="F245" s="4">
        <v>2.505005631</v>
      </c>
      <c r="G245" s="4">
        <v>48.384676919999997</v>
      </c>
      <c r="H245" s="2" t="s">
        <v>14</v>
      </c>
      <c r="I245" s="4">
        <v>43.820633669999999</v>
      </c>
      <c r="J245" s="4">
        <v>58.454697850000002</v>
      </c>
      <c r="K245" s="5">
        <v>19.264894399999999</v>
      </c>
      <c r="L245" s="3">
        <v>2.0076405890000002</v>
      </c>
      <c r="M245" s="2" t="s">
        <v>763</v>
      </c>
      <c r="N245" s="2" t="s">
        <v>18</v>
      </c>
      <c r="O245" s="4">
        <v>2.6128936355405612</v>
      </c>
      <c r="P245" s="2" t="str">
        <f t="shared" si="3"/>
        <v>Low</v>
      </c>
    </row>
    <row r="246" spans="1:16" ht="20.100000000000001" customHeight="1" x14ac:dyDescent="0.3">
      <c r="A246" s="2" t="s">
        <v>127</v>
      </c>
      <c r="B246" s="2" t="s">
        <v>771</v>
      </c>
      <c r="C246" s="3">
        <v>62</v>
      </c>
      <c r="D246" s="2" t="s">
        <v>760</v>
      </c>
      <c r="E246" s="4">
        <v>63.854256139999997</v>
      </c>
      <c r="F246" s="4">
        <v>3.8873008640000002</v>
      </c>
      <c r="G246" s="4">
        <v>37.228815539999999</v>
      </c>
      <c r="H246" s="2" t="s">
        <v>17</v>
      </c>
      <c r="I246" s="4">
        <v>17.582009710000001</v>
      </c>
      <c r="J246" s="4">
        <v>74.049681969999995</v>
      </c>
      <c r="K246" s="5">
        <v>28.16679401</v>
      </c>
      <c r="L246" s="3">
        <v>3.2811166429999998</v>
      </c>
      <c r="M246" s="2" t="s">
        <v>762</v>
      </c>
      <c r="N246" s="2" t="s">
        <v>15</v>
      </c>
      <c r="O246" s="4">
        <v>22.355347490341593</v>
      </c>
      <c r="P246" s="2" t="str">
        <f t="shared" si="3"/>
        <v>Outstanding</v>
      </c>
    </row>
    <row r="247" spans="1:16" ht="20.100000000000001" customHeight="1" x14ac:dyDescent="0.3">
      <c r="A247" s="2" t="s">
        <v>128</v>
      </c>
      <c r="B247" s="2" t="s">
        <v>771</v>
      </c>
      <c r="C247" s="3">
        <v>85</v>
      </c>
      <c r="D247" s="2" t="s">
        <v>761</v>
      </c>
      <c r="E247" s="4">
        <v>62.24807114</v>
      </c>
      <c r="F247" s="4">
        <v>3.4320856580000001</v>
      </c>
      <c r="G247" s="4">
        <v>18.589472300000001</v>
      </c>
      <c r="H247" s="2" t="s">
        <v>14</v>
      </c>
      <c r="I247" s="4">
        <v>78.604696509999997</v>
      </c>
      <c r="J247" s="4">
        <v>99.521584910000001</v>
      </c>
      <c r="K247" s="5">
        <v>20.808674270000001</v>
      </c>
      <c r="L247" s="3">
        <v>6</v>
      </c>
      <c r="M247" s="2" t="s">
        <v>763</v>
      </c>
      <c r="N247" s="2" t="s">
        <v>15</v>
      </c>
      <c r="O247" s="4">
        <v>11.06730563578045</v>
      </c>
      <c r="P247" s="2" t="str">
        <f t="shared" si="3"/>
        <v>Superior</v>
      </c>
    </row>
    <row r="248" spans="1:16" ht="20.100000000000001" customHeight="1" x14ac:dyDescent="0.3">
      <c r="A248" s="2" t="s">
        <v>35</v>
      </c>
      <c r="B248" s="2" t="s">
        <v>22</v>
      </c>
      <c r="C248" s="3">
        <v>50</v>
      </c>
      <c r="D248" s="2" t="s">
        <v>759</v>
      </c>
      <c r="E248" s="4">
        <v>50.279066669999999</v>
      </c>
      <c r="F248" s="4">
        <v>3.168872892</v>
      </c>
      <c r="G248" s="4">
        <v>30.489960230000001</v>
      </c>
      <c r="H248" s="2" t="s">
        <v>28</v>
      </c>
      <c r="I248" s="4">
        <v>16.545512370000001</v>
      </c>
      <c r="J248" s="4">
        <v>77.936327140000003</v>
      </c>
      <c r="K248" s="5">
        <v>33.980310099999997</v>
      </c>
      <c r="L248" s="3">
        <v>3</v>
      </c>
      <c r="M248" s="2" t="s">
        <v>763</v>
      </c>
      <c r="N248" s="2" t="s">
        <v>18</v>
      </c>
      <c r="O248" s="4">
        <v>15.433364343732253</v>
      </c>
      <c r="P248" s="2" t="str">
        <f t="shared" si="3"/>
        <v>Superior</v>
      </c>
    </row>
    <row r="249" spans="1:16" ht="20.100000000000001" customHeight="1" x14ac:dyDescent="0.3">
      <c r="A249" s="2" t="s">
        <v>129</v>
      </c>
      <c r="B249" s="2" t="s">
        <v>768</v>
      </c>
      <c r="C249" s="3">
        <v>85</v>
      </c>
      <c r="D249" s="2" t="s">
        <v>759</v>
      </c>
      <c r="E249" s="4">
        <v>6.9618756739999998</v>
      </c>
      <c r="F249" s="4">
        <v>2.4227759299999998</v>
      </c>
      <c r="G249" s="4">
        <v>22.67276738</v>
      </c>
      <c r="H249" s="2" t="s">
        <v>28</v>
      </c>
      <c r="I249" s="4">
        <v>16.34081342</v>
      </c>
      <c r="J249" s="4">
        <v>78.758467089999996</v>
      </c>
      <c r="K249" s="5">
        <v>29.561548479999999</v>
      </c>
      <c r="L249" s="3">
        <v>1</v>
      </c>
      <c r="M249" s="2" t="s">
        <v>763</v>
      </c>
      <c r="N249" s="2" t="s">
        <v>18</v>
      </c>
      <c r="O249" s="4">
        <v>3.6936235300633031</v>
      </c>
      <c r="P249" s="2" t="str">
        <f t="shared" si="3"/>
        <v>Acceptable</v>
      </c>
    </row>
    <row r="250" spans="1:16" ht="20.100000000000001" customHeight="1" x14ac:dyDescent="0.3">
      <c r="A250" s="2" t="s">
        <v>130</v>
      </c>
      <c r="B250" s="2" t="s">
        <v>771</v>
      </c>
      <c r="C250" s="3">
        <v>85</v>
      </c>
      <c r="D250" s="2" t="s">
        <v>758</v>
      </c>
      <c r="E250" s="4">
        <v>75.186171810000005</v>
      </c>
      <c r="F250" s="4">
        <v>3.6231846459999999</v>
      </c>
      <c r="G250" s="4">
        <v>53.174782800000003</v>
      </c>
      <c r="H250" s="2" t="s">
        <v>14</v>
      </c>
      <c r="I250" s="4">
        <v>17.16005127</v>
      </c>
      <c r="J250" s="4">
        <v>64.310187020000001</v>
      </c>
      <c r="K250" s="5">
        <v>24.923368320000002</v>
      </c>
      <c r="L250" s="3">
        <v>5</v>
      </c>
      <c r="M250" s="2" t="s">
        <v>762</v>
      </c>
      <c r="N250" s="2" t="s">
        <v>18</v>
      </c>
      <c r="O250" s="4">
        <v>30.132824762596751</v>
      </c>
      <c r="P250" s="2" t="str">
        <f t="shared" si="3"/>
        <v>Outstanding</v>
      </c>
    </row>
    <row r="251" spans="1:16" ht="20.100000000000001" customHeight="1" x14ac:dyDescent="0.3">
      <c r="A251" s="2" t="s">
        <v>131</v>
      </c>
      <c r="B251" s="2" t="s">
        <v>768</v>
      </c>
      <c r="C251" s="3">
        <v>50</v>
      </c>
      <c r="D251" s="2" t="s">
        <v>759</v>
      </c>
      <c r="E251" s="4">
        <v>1.7545202339999999</v>
      </c>
      <c r="F251" s="4">
        <v>0.79739443099999996</v>
      </c>
      <c r="G251" s="4">
        <v>8.4307556550000005</v>
      </c>
      <c r="H251" s="2" t="s">
        <v>14</v>
      </c>
      <c r="I251" s="4">
        <v>27.11810685</v>
      </c>
      <c r="J251" s="4">
        <v>78.969154189999998</v>
      </c>
      <c r="K251" s="5">
        <v>25.9360821</v>
      </c>
      <c r="L251" s="3">
        <v>2</v>
      </c>
      <c r="M251" s="2" t="s">
        <v>762</v>
      </c>
      <c r="N251" s="2" t="s">
        <v>18</v>
      </c>
      <c r="O251" s="4">
        <v>0.45486855856060926</v>
      </c>
      <c r="P251" s="2" t="str">
        <f t="shared" si="3"/>
        <v>Low</v>
      </c>
    </row>
    <row r="252" spans="1:16" ht="20.100000000000001" customHeight="1" x14ac:dyDescent="0.3">
      <c r="A252" s="2" t="s">
        <v>132</v>
      </c>
      <c r="B252" s="2" t="s">
        <v>771</v>
      </c>
      <c r="C252" s="3">
        <v>81.653182049999998</v>
      </c>
      <c r="D252" s="2" t="s">
        <v>759</v>
      </c>
      <c r="E252" s="4">
        <v>73.614335440000005</v>
      </c>
      <c r="F252" s="4">
        <v>3.6653189180000001</v>
      </c>
      <c r="G252" s="4">
        <v>3.855782923</v>
      </c>
      <c r="H252" s="2" t="s">
        <v>14</v>
      </c>
      <c r="I252" s="4">
        <v>46.807860640000001</v>
      </c>
      <c r="J252" s="4">
        <v>86.595306289999996</v>
      </c>
      <c r="K252" s="5">
        <v>33.860787700000003</v>
      </c>
      <c r="L252" s="3">
        <v>7</v>
      </c>
      <c r="M252" s="2" t="s">
        <v>764</v>
      </c>
      <c r="N252" s="2" t="s">
        <v>15</v>
      </c>
      <c r="O252" s="4">
        <v>23.915615813167314</v>
      </c>
      <c r="P252" s="2" t="str">
        <f t="shared" si="3"/>
        <v>Outstanding</v>
      </c>
    </row>
    <row r="253" spans="1:16" ht="20.100000000000001" customHeight="1" x14ac:dyDescent="0.3">
      <c r="A253" s="2" t="s">
        <v>133</v>
      </c>
      <c r="B253" s="2" t="s">
        <v>771</v>
      </c>
      <c r="C253" s="3">
        <v>62</v>
      </c>
      <c r="D253" s="2" t="s">
        <v>759</v>
      </c>
      <c r="E253" s="4">
        <v>51.161821979999999</v>
      </c>
      <c r="F253" s="4">
        <v>1.2866745070000001</v>
      </c>
      <c r="G253" s="4">
        <v>15.00297561</v>
      </c>
      <c r="H253" s="2" t="s">
        <v>14</v>
      </c>
      <c r="I253" s="4">
        <v>44.271627909999999</v>
      </c>
      <c r="J253" s="4">
        <v>90.668474320000001</v>
      </c>
      <c r="K253" s="5">
        <v>31.91759862</v>
      </c>
      <c r="L253" s="3">
        <v>1.888037483</v>
      </c>
      <c r="M253" s="2" t="s">
        <v>764</v>
      </c>
      <c r="N253" s="2" t="s">
        <v>18</v>
      </c>
      <c r="O253" s="4">
        <v>14.717232618063298</v>
      </c>
      <c r="P253" s="2" t="str">
        <f t="shared" si="3"/>
        <v>Superior</v>
      </c>
    </row>
    <row r="254" spans="1:16" ht="20.100000000000001" customHeight="1" x14ac:dyDescent="0.3">
      <c r="A254" s="2" t="s">
        <v>134</v>
      </c>
      <c r="B254" s="2" t="s">
        <v>771</v>
      </c>
      <c r="C254" s="3">
        <v>75</v>
      </c>
      <c r="D254" s="2" t="s">
        <v>759</v>
      </c>
      <c r="E254" s="4">
        <v>28.229691630000001</v>
      </c>
      <c r="F254" s="4">
        <v>1.218689578</v>
      </c>
      <c r="G254" s="4">
        <v>23.437410109999998</v>
      </c>
      <c r="H254" s="2" t="s">
        <v>17</v>
      </c>
      <c r="I254" s="4">
        <v>61.78774868</v>
      </c>
      <c r="J254" s="4">
        <v>65.215967379999995</v>
      </c>
      <c r="K254" s="5">
        <v>24.321458360000001</v>
      </c>
      <c r="L254" s="3">
        <v>7</v>
      </c>
      <c r="M254" s="2" t="s">
        <v>764</v>
      </c>
      <c r="N254" s="2" t="s">
        <v>15</v>
      </c>
      <c r="O254" s="4">
        <v>0.72583167555899508</v>
      </c>
      <c r="P254" s="2" t="str">
        <f t="shared" si="3"/>
        <v>Low</v>
      </c>
    </row>
    <row r="255" spans="1:16" ht="20.100000000000001" customHeight="1" x14ac:dyDescent="0.3">
      <c r="A255" s="2" t="s">
        <v>135</v>
      </c>
      <c r="B255" s="2" t="s">
        <v>768</v>
      </c>
      <c r="C255" s="3">
        <v>62</v>
      </c>
      <c r="D255" s="2" t="s">
        <v>757</v>
      </c>
      <c r="E255" s="4">
        <v>67.922832249999999</v>
      </c>
      <c r="F255" s="4">
        <v>3.704571949</v>
      </c>
      <c r="G255" s="4">
        <v>41.743558800000002</v>
      </c>
      <c r="H255" s="2" t="s">
        <v>28</v>
      </c>
      <c r="I255" s="4">
        <v>63.582067680000002</v>
      </c>
      <c r="J255" s="4">
        <v>89.937681139999995</v>
      </c>
      <c r="K255" s="5">
        <v>14.333455389999999</v>
      </c>
      <c r="L255" s="3">
        <v>5</v>
      </c>
      <c r="M255" s="2" t="s">
        <v>764</v>
      </c>
      <c r="N255" s="2" t="s">
        <v>21</v>
      </c>
      <c r="O255" s="4">
        <v>11.098917053714414</v>
      </c>
      <c r="P255" s="2" t="str">
        <f t="shared" si="3"/>
        <v>Superior</v>
      </c>
    </row>
    <row r="256" spans="1:16" ht="20.100000000000001" customHeight="1" x14ac:dyDescent="0.3">
      <c r="A256" s="2" t="s">
        <v>136</v>
      </c>
      <c r="B256" s="2" t="s">
        <v>770</v>
      </c>
      <c r="C256" s="3">
        <v>85</v>
      </c>
      <c r="D256" s="2" t="s">
        <v>757</v>
      </c>
      <c r="E256" s="4">
        <v>50.643736599999997</v>
      </c>
      <c r="F256" s="4">
        <v>2.2291425500000002</v>
      </c>
      <c r="G256" s="4">
        <v>29.63368144</v>
      </c>
      <c r="H256" s="2" t="s">
        <v>24</v>
      </c>
      <c r="I256" s="4">
        <v>31.57069886</v>
      </c>
      <c r="J256" s="4">
        <v>70.64832964</v>
      </c>
      <c r="K256" s="5">
        <v>6.4343614469999997</v>
      </c>
      <c r="L256" s="3">
        <v>3</v>
      </c>
      <c r="M256" s="2" t="s">
        <v>762</v>
      </c>
      <c r="N256" s="2" t="s">
        <v>21</v>
      </c>
      <c r="O256" s="4">
        <v>16.821816541482164</v>
      </c>
      <c r="P256" s="2" t="str">
        <f t="shared" si="3"/>
        <v>Superior</v>
      </c>
    </row>
    <row r="257" spans="1:16" ht="20.100000000000001" customHeight="1" x14ac:dyDescent="0.3">
      <c r="A257" s="2" t="s">
        <v>137</v>
      </c>
      <c r="B257" s="2" t="s">
        <v>22</v>
      </c>
      <c r="C257" s="3">
        <v>75</v>
      </c>
      <c r="D257" s="2" t="s">
        <v>760</v>
      </c>
      <c r="E257" s="4">
        <v>57.897998190000003</v>
      </c>
      <c r="F257" s="4">
        <v>0.60556480000000001</v>
      </c>
      <c r="G257" s="4">
        <v>15.380881329999999</v>
      </c>
      <c r="H257" s="2" t="s">
        <v>28</v>
      </c>
      <c r="I257" s="4">
        <v>58.602148970000002</v>
      </c>
      <c r="J257" s="4">
        <v>77.231749370000003</v>
      </c>
      <c r="K257" s="5">
        <v>15.72519595</v>
      </c>
      <c r="L257" s="3">
        <v>7</v>
      </c>
      <c r="M257" s="2" t="s">
        <v>762</v>
      </c>
      <c r="N257" s="2" t="s">
        <v>21</v>
      </c>
      <c r="O257" s="4">
        <v>8.0896242767971742</v>
      </c>
      <c r="P257" s="2" t="str">
        <f t="shared" si="3"/>
        <v>Acceptable</v>
      </c>
    </row>
    <row r="258" spans="1:16" ht="20.100000000000001" customHeight="1" x14ac:dyDescent="0.3">
      <c r="A258" s="2" t="s">
        <v>138</v>
      </c>
      <c r="B258" s="2" t="s">
        <v>770</v>
      </c>
      <c r="C258" s="3">
        <v>75</v>
      </c>
      <c r="D258" s="2" t="s">
        <v>760</v>
      </c>
      <c r="E258" s="4">
        <v>30.900798340000001</v>
      </c>
      <c r="F258" s="4">
        <v>0.67087714700000001</v>
      </c>
      <c r="G258" s="4">
        <v>40.564403929999997</v>
      </c>
      <c r="H258" s="2" t="s">
        <v>28</v>
      </c>
      <c r="I258" s="4">
        <v>24.834499310000002</v>
      </c>
      <c r="J258" s="4">
        <v>61.279012360000003</v>
      </c>
      <c r="K258" s="5">
        <v>33.505860239999997</v>
      </c>
      <c r="L258" s="3">
        <v>4</v>
      </c>
      <c r="M258" s="2" t="s">
        <v>762</v>
      </c>
      <c r="N258" s="2" t="s">
        <v>18</v>
      </c>
      <c r="O258" s="4">
        <v>8.4462341126816121</v>
      </c>
      <c r="P258" s="2" t="str">
        <f t="shared" si="3"/>
        <v>Acceptable</v>
      </c>
    </row>
    <row r="259" spans="1:16" ht="20.100000000000001" customHeight="1" x14ac:dyDescent="0.3">
      <c r="A259" s="2" t="s">
        <v>139</v>
      </c>
      <c r="B259" s="2" t="s">
        <v>22</v>
      </c>
      <c r="C259" s="3">
        <v>100</v>
      </c>
      <c r="D259" s="2" t="s">
        <v>757</v>
      </c>
      <c r="E259" s="4">
        <v>65.244755049999995</v>
      </c>
      <c r="F259" s="4">
        <v>0.87865168199999999</v>
      </c>
      <c r="G259" s="4">
        <v>46.9698183</v>
      </c>
      <c r="H259" s="2" t="s">
        <v>14</v>
      </c>
      <c r="I259" s="4">
        <v>27.08090945</v>
      </c>
      <c r="J259" s="4">
        <v>55.747611120000002</v>
      </c>
      <c r="K259" s="5">
        <v>20.427071949999998</v>
      </c>
      <c r="L259" s="3">
        <v>4</v>
      </c>
      <c r="M259" s="2" t="s">
        <v>763</v>
      </c>
      <c r="N259" s="2" t="s">
        <v>15</v>
      </c>
      <c r="O259" s="4">
        <v>18.703519285505756</v>
      </c>
      <c r="P259" s="2" t="str">
        <f t="shared" ref="P259:P322" si="4">IF(O259 &lt; 3, "Low", IF(O259 &lt; 10, "Acceptable", IF(O259 &lt; 20, "Superior", "Outstanding")))</f>
        <v>Superior</v>
      </c>
    </row>
    <row r="260" spans="1:16" ht="20.100000000000001" customHeight="1" x14ac:dyDescent="0.3">
      <c r="A260" s="2" t="s">
        <v>140</v>
      </c>
      <c r="B260" s="2" t="s">
        <v>22</v>
      </c>
      <c r="C260" s="3">
        <v>50</v>
      </c>
      <c r="D260" s="2" t="s">
        <v>758</v>
      </c>
      <c r="E260" s="4">
        <v>20.464780940000001</v>
      </c>
      <c r="F260" s="4">
        <v>3.64700851</v>
      </c>
      <c r="G260" s="4">
        <v>18.59949061</v>
      </c>
      <c r="H260" s="2" t="s">
        <v>17</v>
      </c>
      <c r="I260" s="4">
        <v>18.134151710000001</v>
      </c>
      <c r="J260" s="4">
        <v>56.114813320000003</v>
      </c>
      <c r="K260" s="5">
        <v>25.428088209999999</v>
      </c>
      <c r="L260" s="3">
        <v>7</v>
      </c>
      <c r="M260" s="2" t="s">
        <v>762</v>
      </c>
      <c r="N260" s="2" t="s">
        <v>18</v>
      </c>
      <c r="O260" s="4">
        <v>3.886329599024589</v>
      </c>
      <c r="P260" s="2" t="str">
        <f t="shared" si="4"/>
        <v>Acceptable</v>
      </c>
    </row>
    <row r="261" spans="1:16" ht="20.100000000000001" customHeight="1" x14ac:dyDescent="0.3">
      <c r="A261" s="2" t="s">
        <v>141</v>
      </c>
      <c r="B261" s="2" t="s">
        <v>771</v>
      </c>
      <c r="C261" s="3">
        <v>27.03325783</v>
      </c>
      <c r="D261" s="2" t="s">
        <v>760</v>
      </c>
      <c r="E261" s="4">
        <v>49.186728299999999</v>
      </c>
      <c r="F261" s="4">
        <v>1.912563148</v>
      </c>
      <c r="G261" s="4">
        <v>32.363055160000002</v>
      </c>
      <c r="H261" s="2" t="s">
        <v>24</v>
      </c>
      <c r="I261" s="4">
        <v>64.421809519999996</v>
      </c>
      <c r="J261" s="4">
        <v>99.603577520000002</v>
      </c>
      <c r="K261" s="5">
        <v>2.803936969</v>
      </c>
      <c r="L261" s="3">
        <v>5</v>
      </c>
      <c r="M261" s="2" t="s">
        <v>763</v>
      </c>
      <c r="N261" s="2" t="s">
        <v>15</v>
      </c>
      <c r="O261" s="4">
        <v>4.678040559944673</v>
      </c>
      <c r="P261" s="2" t="str">
        <f t="shared" si="4"/>
        <v>Acceptable</v>
      </c>
    </row>
    <row r="262" spans="1:16" ht="20.100000000000001" customHeight="1" x14ac:dyDescent="0.3">
      <c r="A262" s="2" t="s">
        <v>36</v>
      </c>
      <c r="B262" s="2" t="s">
        <v>768</v>
      </c>
      <c r="C262" s="3">
        <v>75</v>
      </c>
      <c r="D262" s="2" t="s">
        <v>757</v>
      </c>
      <c r="E262" s="4">
        <v>49.196429590000001</v>
      </c>
      <c r="F262" s="4">
        <v>2.5628173040000002</v>
      </c>
      <c r="G262" s="4">
        <v>19.194882839999998</v>
      </c>
      <c r="H262" s="2" t="s">
        <v>24</v>
      </c>
      <c r="I262" s="4">
        <v>49.024239110000003</v>
      </c>
      <c r="J262" s="4">
        <v>64.48187394</v>
      </c>
      <c r="K262" s="5">
        <v>39.958937319999997</v>
      </c>
      <c r="L262" s="3">
        <v>4.2579367030000004</v>
      </c>
      <c r="M262" s="2" t="s">
        <v>764</v>
      </c>
      <c r="N262" s="2" t="s">
        <v>21</v>
      </c>
      <c r="O262" s="4">
        <v>5.7034533265651985</v>
      </c>
      <c r="P262" s="2" t="str">
        <f t="shared" si="4"/>
        <v>Acceptable</v>
      </c>
    </row>
    <row r="263" spans="1:16" ht="20.100000000000001" customHeight="1" x14ac:dyDescent="0.3">
      <c r="A263" s="2" t="s">
        <v>142</v>
      </c>
      <c r="B263" s="2" t="s">
        <v>768</v>
      </c>
      <c r="C263" s="3">
        <v>85</v>
      </c>
      <c r="D263" s="2" t="s">
        <v>761</v>
      </c>
      <c r="E263" s="4">
        <v>32.64266714</v>
      </c>
      <c r="F263" s="4">
        <v>0.56064090099999997</v>
      </c>
      <c r="G263" s="4">
        <v>29.19908693</v>
      </c>
      <c r="H263" s="2" t="s">
        <v>14</v>
      </c>
      <c r="I263" s="4">
        <v>51.557809349999999</v>
      </c>
      <c r="J263" s="4">
        <v>73.550945499999997</v>
      </c>
      <c r="K263" s="5">
        <v>29.93933285</v>
      </c>
      <c r="L263" s="3">
        <v>0</v>
      </c>
      <c r="M263" s="2" t="s">
        <v>764</v>
      </c>
      <c r="N263" s="2" t="s">
        <v>21</v>
      </c>
      <c r="O263" s="4">
        <v>6.1022742930277847</v>
      </c>
      <c r="P263" s="2" t="str">
        <f t="shared" si="4"/>
        <v>Acceptable</v>
      </c>
    </row>
    <row r="264" spans="1:16" ht="20.100000000000001" customHeight="1" x14ac:dyDescent="0.3">
      <c r="A264" s="2" t="s">
        <v>143</v>
      </c>
      <c r="B264" s="2" t="s">
        <v>770</v>
      </c>
      <c r="C264" s="3">
        <v>62</v>
      </c>
      <c r="D264" s="2" t="s">
        <v>757</v>
      </c>
      <c r="E264" s="4">
        <v>33.36550879</v>
      </c>
      <c r="F264" s="4">
        <v>0.61126202299999999</v>
      </c>
      <c r="G264" s="4">
        <v>10.196946649999999</v>
      </c>
      <c r="H264" s="2" t="s">
        <v>17</v>
      </c>
      <c r="I264" s="4">
        <v>26.849323080000001</v>
      </c>
      <c r="J264" s="4">
        <v>99.637563659999998</v>
      </c>
      <c r="K264" s="5">
        <v>26.873897329999998</v>
      </c>
      <c r="L264" s="3">
        <v>0</v>
      </c>
      <c r="M264" s="2" t="s">
        <v>764</v>
      </c>
      <c r="N264" s="2" t="s">
        <v>18</v>
      </c>
      <c r="O264" s="4">
        <v>15.057423421459873</v>
      </c>
      <c r="P264" s="2" t="str">
        <f t="shared" si="4"/>
        <v>Superior</v>
      </c>
    </row>
    <row r="265" spans="1:16" ht="20.100000000000001" customHeight="1" x14ac:dyDescent="0.3">
      <c r="A265" s="2" t="s">
        <v>144</v>
      </c>
      <c r="B265" s="2" t="s">
        <v>768</v>
      </c>
      <c r="C265" s="3">
        <v>75</v>
      </c>
      <c r="D265" s="2" t="s">
        <v>759</v>
      </c>
      <c r="E265" s="4">
        <v>65.89172327</v>
      </c>
      <c r="F265" s="4">
        <v>0.73893052999999997</v>
      </c>
      <c r="G265" s="4">
        <v>36.493054960000002</v>
      </c>
      <c r="H265" s="2" t="s">
        <v>24</v>
      </c>
      <c r="I265" s="4">
        <v>18.871321859999998</v>
      </c>
      <c r="J265" s="4">
        <v>65.017231409999994</v>
      </c>
      <c r="K265" s="5">
        <v>11.72918175</v>
      </c>
      <c r="L265" s="3">
        <v>5</v>
      </c>
      <c r="M265" s="2" t="s">
        <v>763</v>
      </c>
      <c r="N265" s="2" t="s">
        <v>15</v>
      </c>
      <c r="O265" s="4">
        <v>22.804751265832873</v>
      </c>
      <c r="P265" s="2" t="str">
        <f t="shared" si="4"/>
        <v>Outstanding</v>
      </c>
    </row>
    <row r="266" spans="1:16" ht="20.100000000000001" customHeight="1" x14ac:dyDescent="0.3">
      <c r="A266" s="2" t="s">
        <v>145</v>
      </c>
      <c r="B266" s="2" t="s">
        <v>22</v>
      </c>
      <c r="C266" s="3">
        <v>75</v>
      </c>
      <c r="D266" s="2" t="s">
        <v>760</v>
      </c>
      <c r="E266" s="4">
        <v>12.669821069999999</v>
      </c>
      <c r="F266" s="4">
        <v>2.8168235529999999</v>
      </c>
      <c r="G266" s="4">
        <v>18.71829649</v>
      </c>
      <c r="H266" s="2" t="s">
        <v>17</v>
      </c>
      <c r="I266" s="4">
        <v>35.917354629999998</v>
      </c>
      <c r="J266" s="4">
        <v>67.07789382</v>
      </c>
      <c r="K266" s="5">
        <v>29.4030223</v>
      </c>
      <c r="L266" s="3">
        <v>3</v>
      </c>
      <c r="M266" s="2" t="s">
        <v>762</v>
      </c>
      <c r="N266" s="2" t="s">
        <v>21</v>
      </c>
      <c r="O266" s="4">
        <v>2.9609884198651706</v>
      </c>
      <c r="P266" s="2" t="str">
        <f t="shared" si="4"/>
        <v>Low</v>
      </c>
    </row>
    <row r="267" spans="1:16" ht="20.100000000000001" customHeight="1" x14ac:dyDescent="0.3">
      <c r="A267" s="2" t="s">
        <v>37</v>
      </c>
      <c r="B267" s="2" t="s">
        <v>770</v>
      </c>
      <c r="C267" s="3">
        <v>100</v>
      </c>
      <c r="D267" s="2" t="s">
        <v>760</v>
      </c>
      <c r="E267" s="4">
        <v>68.447126319999995</v>
      </c>
      <c r="F267" s="4">
        <v>2.0714292090000002</v>
      </c>
      <c r="G267" s="4">
        <v>49.710306969999998</v>
      </c>
      <c r="H267" s="2" t="s">
        <v>17</v>
      </c>
      <c r="I267" s="4">
        <v>19.233139130000001</v>
      </c>
      <c r="J267" s="4">
        <v>74.006150880000007</v>
      </c>
      <c r="K267" s="5">
        <v>3.580839954</v>
      </c>
      <c r="L267" s="3">
        <v>5</v>
      </c>
      <c r="M267" s="2" t="s">
        <v>764</v>
      </c>
      <c r="N267" s="2" t="s">
        <v>15</v>
      </c>
      <c r="O267" s="4">
        <v>37.490552541790947</v>
      </c>
      <c r="P267" s="2" t="str">
        <f t="shared" si="4"/>
        <v>Outstanding</v>
      </c>
    </row>
    <row r="268" spans="1:16" ht="20.100000000000001" customHeight="1" x14ac:dyDescent="0.3">
      <c r="A268" s="2" t="s">
        <v>146</v>
      </c>
      <c r="B268" s="2" t="s">
        <v>769</v>
      </c>
      <c r="C268" s="3">
        <v>50</v>
      </c>
      <c r="D268" s="2" t="s">
        <v>757</v>
      </c>
      <c r="E268" s="4">
        <v>31.877190169999999</v>
      </c>
      <c r="F268" s="4">
        <v>1.383940916</v>
      </c>
      <c r="G268" s="4">
        <v>23.466355839999999</v>
      </c>
      <c r="H268" s="2" t="s">
        <v>14</v>
      </c>
      <c r="I268" s="4">
        <v>68.823683840000001</v>
      </c>
      <c r="J268" s="4">
        <v>92.837124119999999</v>
      </c>
      <c r="K268" s="5">
        <v>38.188672760000003</v>
      </c>
      <c r="L268" s="3">
        <v>6</v>
      </c>
      <c r="M268" s="2" t="s">
        <v>764</v>
      </c>
      <c r="N268" s="2" t="s">
        <v>18</v>
      </c>
      <c r="O268" s="4">
        <v>3.8274050122074899</v>
      </c>
      <c r="P268" s="2" t="str">
        <f t="shared" si="4"/>
        <v>Acceptable</v>
      </c>
    </row>
    <row r="269" spans="1:16" ht="20.100000000000001" customHeight="1" x14ac:dyDescent="0.3">
      <c r="A269" s="2" t="s">
        <v>147</v>
      </c>
      <c r="B269" s="2" t="s">
        <v>771</v>
      </c>
      <c r="C269" s="3">
        <v>50</v>
      </c>
      <c r="D269" s="2" t="s">
        <v>761</v>
      </c>
      <c r="E269" s="4">
        <v>29.582840439999998</v>
      </c>
      <c r="F269" s="4">
        <v>3.2038717860000001</v>
      </c>
      <c r="G269" s="4">
        <v>37.183765399999999</v>
      </c>
      <c r="H269" s="2" t="s">
        <v>28</v>
      </c>
      <c r="I269" s="4">
        <v>24.743941270000001</v>
      </c>
      <c r="J269" s="4">
        <v>80.604378449999999</v>
      </c>
      <c r="K269" s="5">
        <v>5.7985721100000003</v>
      </c>
      <c r="L269" s="3">
        <v>5</v>
      </c>
      <c r="M269" s="2" t="s">
        <v>763</v>
      </c>
      <c r="N269" s="2" t="s">
        <v>15</v>
      </c>
      <c r="O269" s="4">
        <v>8.262552000022918</v>
      </c>
      <c r="P269" s="2" t="str">
        <f t="shared" si="4"/>
        <v>Acceptable</v>
      </c>
    </row>
    <row r="270" spans="1:16" ht="20.100000000000001" customHeight="1" x14ac:dyDescent="0.3">
      <c r="A270" s="2" t="s">
        <v>148</v>
      </c>
      <c r="B270" s="2" t="s">
        <v>770</v>
      </c>
      <c r="C270" s="3">
        <v>100</v>
      </c>
      <c r="D270" s="2" t="s">
        <v>760</v>
      </c>
      <c r="E270" s="4">
        <v>37.509777479999997</v>
      </c>
      <c r="F270" s="4">
        <v>3.5180613260000002</v>
      </c>
      <c r="G270" s="4">
        <v>6.3417812900000001</v>
      </c>
      <c r="H270" s="2" t="s">
        <v>14</v>
      </c>
      <c r="I270" s="4">
        <v>31.20433856</v>
      </c>
      <c r="J270" s="4">
        <v>76.034504380000001</v>
      </c>
      <c r="K270" s="5">
        <v>30.128829939999999</v>
      </c>
      <c r="L270" s="3">
        <v>1</v>
      </c>
      <c r="M270" s="2" t="s">
        <v>764</v>
      </c>
      <c r="N270" s="2" t="s">
        <v>18</v>
      </c>
      <c r="O270" s="4">
        <v>16.815695442997018</v>
      </c>
      <c r="P270" s="2" t="str">
        <f t="shared" si="4"/>
        <v>Superior</v>
      </c>
    </row>
    <row r="271" spans="1:16" ht="20.100000000000001" customHeight="1" x14ac:dyDescent="0.3">
      <c r="A271" s="2" t="s">
        <v>149</v>
      </c>
      <c r="B271" s="2" t="s">
        <v>771</v>
      </c>
      <c r="C271" s="3">
        <v>62</v>
      </c>
      <c r="D271" s="2" t="s">
        <v>761</v>
      </c>
      <c r="E271" s="4">
        <v>29.840622669999998</v>
      </c>
      <c r="F271" s="4">
        <v>3.4738635759999998</v>
      </c>
      <c r="G271" s="4">
        <v>14.0390994</v>
      </c>
      <c r="H271" s="2" t="s">
        <v>24</v>
      </c>
      <c r="I271" s="4">
        <v>17.262380830000001</v>
      </c>
      <c r="J271" s="4">
        <v>53.656511989999998</v>
      </c>
      <c r="K271" s="5">
        <v>19.176670439999999</v>
      </c>
      <c r="L271" s="3">
        <v>7</v>
      </c>
      <c r="M271" s="2" t="s">
        <v>763</v>
      </c>
      <c r="N271" s="2" t="s">
        <v>15</v>
      </c>
      <c r="O271" s="4">
        <v>6.7333459191579061</v>
      </c>
      <c r="P271" s="2" t="str">
        <f t="shared" si="4"/>
        <v>Acceptable</v>
      </c>
    </row>
    <row r="272" spans="1:16" ht="20.100000000000001" customHeight="1" x14ac:dyDescent="0.3">
      <c r="A272" s="2" t="s">
        <v>150</v>
      </c>
      <c r="B272" s="2" t="s">
        <v>768</v>
      </c>
      <c r="C272" s="3">
        <v>100</v>
      </c>
      <c r="D272" s="2" t="s">
        <v>761</v>
      </c>
      <c r="E272" s="4">
        <v>60.410103749999998</v>
      </c>
      <c r="F272" s="4">
        <v>1.7089707009999999</v>
      </c>
      <c r="G272" s="4">
        <v>48.788684660000001</v>
      </c>
      <c r="H272" s="2" t="s">
        <v>14</v>
      </c>
      <c r="I272" s="4">
        <v>77.006817850000004</v>
      </c>
      <c r="J272" s="4">
        <v>82.530965219999999</v>
      </c>
      <c r="K272" s="5">
        <v>12.87049397</v>
      </c>
      <c r="L272" s="3">
        <v>2</v>
      </c>
      <c r="M272" s="2" t="s">
        <v>764</v>
      </c>
      <c r="N272" s="2" t="s">
        <v>18</v>
      </c>
      <c r="O272" s="4">
        <v>3.3371431575198924</v>
      </c>
      <c r="P272" s="2" t="str">
        <f t="shared" si="4"/>
        <v>Acceptable</v>
      </c>
    </row>
    <row r="273" spans="1:16" ht="20.100000000000001" customHeight="1" x14ac:dyDescent="0.3">
      <c r="A273" s="2" t="s">
        <v>151</v>
      </c>
      <c r="B273" s="2" t="s">
        <v>771</v>
      </c>
      <c r="C273" s="3">
        <v>85</v>
      </c>
      <c r="D273" s="2" t="s">
        <v>757</v>
      </c>
      <c r="E273" s="4">
        <v>44.785489040000002</v>
      </c>
      <c r="F273" s="4">
        <v>3.430646018</v>
      </c>
      <c r="G273" s="4">
        <v>35.390405229999999</v>
      </c>
      <c r="H273" s="2" t="s">
        <v>28</v>
      </c>
      <c r="I273" s="4">
        <v>20.083042450000001</v>
      </c>
      <c r="J273" s="4">
        <v>76.262955689999998</v>
      </c>
      <c r="K273" s="5">
        <v>10.64900727</v>
      </c>
      <c r="L273" s="3">
        <v>6</v>
      </c>
      <c r="M273" s="2" t="s">
        <v>764</v>
      </c>
      <c r="N273" s="2" t="s">
        <v>15</v>
      </c>
      <c r="O273" s="4">
        <v>21.386381553764455</v>
      </c>
      <c r="P273" s="2" t="str">
        <f t="shared" si="4"/>
        <v>Outstanding</v>
      </c>
    </row>
    <row r="274" spans="1:16" ht="20.100000000000001" customHeight="1" x14ac:dyDescent="0.3">
      <c r="A274" s="2" t="s">
        <v>152</v>
      </c>
      <c r="B274" s="2" t="s">
        <v>768</v>
      </c>
      <c r="C274" s="3">
        <v>85</v>
      </c>
      <c r="D274" s="2" t="s">
        <v>761</v>
      </c>
      <c r="E274" s="4">
        <v>29.013966459999999</v>
      </c>
      <c r="F274" s="4">
        <v>2.5254327760000002</v>
      </c>
      <c r="G274" s="4">
        <v>43.009869739999999</v>
      </c>
      <c r="H274" s="2" t="s">
        <v>14</v>
      </c>
      <c r="I274" s="4">
        <v>70.247974380000002</v>
      </c>
      <c r="J274" s="4">
        <v>92.498143909999996</v>
      </c>
      <c r="K274" s="5">
        <v>1.081182965</v>
      </c>
      <c r="L274" s="3">
        <v>3</v>
      </c>
      <c r="M274" s="2" t="s">
        <v>762</v>
      </c>
      <c r="N274" s="2" t="s">
        <v>18</v>
      </c>
      <c r="O274" s="4">
        <v>5.4873082160182376</v>
      </c>
      <c r="P274" s="2" t="str">
        <f t="shared" si="4"/>
        <v>Acceptable</v>
      </c>
    </row>
    <row r="275" spans="1:16" ht="20.100000000000001" customHeight="1" x14ac:dyDescent="0.3">
      <c r="A275" s="2" t="s">
        <v>153</v>
      </c>
      <c r="B275" s="2" t="s">
        <v>770</v>
      </c>
      <c r="C275" s="3">
        <v>62</v>
      </c>
      <c r="D275" s="2" t="s">
        <v>759</v>
      </c>
      <c r="E275" s="4">
        <v>65.550921590000002</v>
      </c>
      <c r="F275" s="4">
        <v>3.5756254859999999</v>
      </c>
      <c r="G275" s="4">
        <v>12.163397209999999</v>
      </c>
      <c r="H275" s="2" t="s">
        <v>28</v>
      </c>
      <c r="I275" s="4">
        <v>47.910629870000001</v>
      </c>
      <c r="J275" s="4">
        <v>97.306845890000005</v>
      </c>
      <c r="K275" s="5">
        <v>28.694656949999999</v>
      </c>
      <c r="L275" s="3">
        <v>3</v>
      </c>
      <c r="M275" s="2" t="s">
        <v>762</v>
      </c>
      <c r="N275" s="2" t="s">
        <v>18</v>
      </c>
      <c r="O275" s="4">
        <v>20.075398395652279</v>
      </c>
      <c r="P275" s="2" t="str">
        <f t="shared" si="4"/>
        <v>Outstanding</v>
      </c>
    </row>
    <row r="276" spans="1:16" ht="20.100000000000001" customHeight="1" x14ac:dyDescent="0.3">
      <c r="A276" s="2" t="s">
        <v>154</v>
      </c>
      <c r="B276" s="2" t="s">
        <v>771</v>
      </c>
      <c r="C276" s="3">
        <v>50</v>
      </c>
      <c r="D276" s="2" t="s">
        <v>761</v>
      </c>
      <c r="E276" s="4">
        <v>76.579767649999994</v>
      </c>
      <c r="F276" s="4">
        <v>0.62461829300000005</v>
      </c>
      <c r="G276" s="4">
        <v>10.566450939999999</v>
      </c>
      <c r="H276" s="2" t="s">
        <v>14</v>
      </c>
      <c r="I276" s="4">
        <v>47.058938859999998</v>
      </c>
      <c r="J276" s="4">
        <v>71.889862449999995</v>
      </c>
      <c r="K276" s="5">
        <v>16.46756864</v>
      </c>
      <c r="L276" s="3">
        <v>0</v>
      </c>
      <c r="M276" s="2" t="s">
        <v>762</v>
      </c>
      <c r="N276" s="2" t="s">
        <v>21</v>
      </c>
      <c r="O276" s="4">
        <v>9.5077317952855172</v>
      </c>
      <c r="P276" s="2" t="str">
        <f t="shared" si="4"/>
        <v>Acceptable</v>
      </c>
    </row>
    <row r="277" spans="1:16" ht="20.100000000000001" customHeight="1" x14ac:dyDescent="0.3">
      <c r="A277" s="2" t="s">
        <v>155</v>
      </c>
      <c r="B277" s="2" t="s">
        <v>22</v>
      </c>
      <c r="C277" s="3">
        <v>50</v>
      </c>
      <c r="D277" s="2" t="s">
        <v>759</v>
      </c>
      <c r="E277" s="4">
        <v>49.621511660000003</v>
      </c>
      <c r="F277" s="4">
        <v>3.731488455</v>
      </c>
      <c r="G277" s="4">
        <v>28.549558650000002</v>
      </c>
      <c r="H277" s="2" t="s">
        <v>28</v>
      </c>
      <c r="I277" s="4">
        <v>43.909880489999999</v>
      </c>
      <c r="J277" s="4">
        <v>98.388608099999999</v>
      </c>
      <c r="K277" s="5">
        <v>11.257475680000001</v>
      </c>
      <c r="L277" s="3">
        <v>6</v>
      </c>
      <c r="M277" s="2" t="s">
        <v>763</v>
      </c>
      <c r="N277" s="2" t="s">
        <v>15</v>
      </c>
      <c r="O277" s="4">
        <v>13.516584086607896</v>
      </c>
      <c r="P277" s="2" t="str">
        <f t="shared" si="4"/>
        <v>Superior</v>
      </c>
    </row>
    <row r="278" spans="1:16" ht="20.100000000000001" customHeight="1" x14ac:dyDescent="0.3">
      <c r="A278" s="2" t="s">
        <v>156</v>
      </c>
      <c r="B278" s="2" t="s">
        <v>768</v>
      </c>
      <c r="C278" s="3">
        <v>85</v>
      </c>
      <c r="D278" s="2" t="s">
        <v>760</v>
      </c>
      <c r="E278" s="4">
        <v>56.821352470000001</v>
      </c>
      <c r="F278" s="4">
        <v>0.86521314699999996</v>
      </c>
      <c r="G278" s="4">
        <v>21.269704740000002</v>
      </c>
      <c r="H278" s="2" t="s">
        <v>24</v>
      </c>
      <c r="I278" s="4">
        <v>17.451240720000001</v>
      </c>
      <c r="J278" s="4">
        <v>53.850174629999998</v>
      </c>
      <c r="K278" s="5">
        <v>39.802406249999997</v>
      </c>
      <c r="L278" s="3">
        <v>2</v>
      </c>
      <c r="M278" s="2" t="s">
        <v>763</v>
      </c>
      <c r="N278" s="2" t="s">
        <v>21</v>
      </c>
      <c r="O278" s="4">
        <v>17.580011552474936</v>
      </c>
      <c r="P278" s="2" t="str">
        <f t="shared" si="4"/>
        <v>Superior</v>
      </c>
    </row>
    <row r="279" spans="1:16" ht="20.100000000000001" customHeight="1" x14ac:dyDescent="0.3">
      <c r="A279" s="2" t="s">
        <v>157</v>
      </c>
      <c r="B279" s="2" t="s">
        <v>769</v>
      </c>
      <c r="C279" s="3">
        <v>100</v>
      </c>
      <c r="D279" s="2" t="s">
        <v>759</v>
      </c>
      <c r="E279" s="4">
        <v>58.151062889999999</v>
      </c>
      <c r="F279" s="4">
        <v>1.9862538999999999</v>
      </c>
      <c r="G279" s="4">
        <v>34.965097139999997</v>
      </c>
      <c r="H279" s="2" t="s">
        <v>24</v>
      </c>
      <c r="I279" s="4">
        <v>17.460975829999999</v>
      </c>
      <c r="J279" s="4">
        <v>82.131137749999994</v>
      </c>
      <c r="K279" s="5">
        <v>35.589301169999999</v>
      </c>
      <c r="L279" s="3">
        <v>7</v>
      </c>
      <c r="M279" s="2" t="s">
        <v>764</v>
      </c>
      <c r="N279" s="2" t="s">
        <v>18</v>
      </c>
      <c r="O279" s="4">
        <v>37.606386529164027</v>
      </c>
      <c r="P279" s="2" t="str">
        <f t="shared" si="4"/>
        <v>Outstanding</v>
      </c>
    </row>
    <row r="280" spans="1:16" ht="20.100000000000001" customHeight="1" x14ac:dyDescent="0.3">
      <c r="A280" s="2" t="s">
        <v>158</v>
      </c>
      <c r="B280" s="2" t="s">
        <v>768</v>
      </c>
      <c r="C280" s="3">
        <v>10.189286770000001</v>
      </c>
      <c r="D280" s="2" t="s">
        <v>760</v>
      </c>
      <c r="E280" s="4">
        <v>63.59427153</v>
      </c>
      <c r="F280" s="4">
        <v>3.3335554479999998</v>
      </c>
      <c r="G280" s="4">
        <v>28.596306460000001</v>
      </c>
      <c r="H280" s="2" t="s">
        <v>28</v>
      </c>
      <c r="I280" s="4">
        <v>18.284235370000001</v>
      </c>
      <c r="J280" s="4">
        <v>63.025122570000001</v>
      </c>
      <c r="K280" s="5">
        <v>2.7908441669999999</v>
      </c>
      <c r="L280" s="3">
        <v>4</v>
      </c>
      <c r="M280" s="2" t="s">
        <v>764</v>
      </c>
      <c r="N280" s="2" t="s">
        <v>15</v>
      </c>
      <c r="O280" s="4">
        <v>2.8991212147691305</v>
      </c>
      <c r="P280" s="2" t="str">
        <f t="shared" si="4"/>
        <v>Low</v>
      </c>
    </row>
    <row r="281" spans="1:16" ht="20.100000000000001" customHeight="1" x14ac:dyDescent="0.3">
      <c r="A281" s="2" t="s">
        <v>159</v>
      </c>
      <c r="B281" s="2" t="s">
        <v>770</v>
      </c>
      <c r="C281" s="3">
        <v>75</v>
      </c>
      <c r="D281" s="2" t="s">
        <v>759</v>
      </c>
      <c r="E281" s="4">
        <v>70.244717179999995</v>
      </c>
      <c r="F281" s="4">
        <v>3.3727385719999998</v>
      </c>
      <c r="G281" s="4">
        <v>31.881822270000001</v>
      </c>
      <c r="H281" s="2" t="s">
        <v>28</v>
      </c>
      <c r="I281" s="4">
        <v>72.549295069999999</v>
      </c>
      <c r="J281" s="4">
        <v>91.901780090000003</v>
      </c>
      <c r="K281" s="5">
        <v>7.1364856220000004</v>
      </c>
      <c r="L281" s="3">
        <v>4</v>
      </c>
      <c r="M281" s="2" t="s">
        <v>763</v>
      </c>
      <c r="N281" s="2" t="s">
        <v>18</v>
      </c>
      <c r="O281" s="4">
        <v>10.195573777200652</v>
      </c>
      <c r="P281" s="2" t="str">
        <f t="shared" si="4"/>
        <v>Superior</v>
      </c>
    </row>
    <row r="282" spans="1:16" ht="20.100000000000001" customHeight="1" x14ac:dyDescent="0.3">
      <c r="A282" s="2" t="s">
        <v>160</v>
      </c>
      <c r="B282" s="2" t="s">
        <v>769</v>
      </c>
      <c r="C282" s="3">
        <v>100</v>
      </c>
      <c r="D282" s="2" t="s">
        <v>758</v>
      </c>
      <c r="E282" s="4">
        <v>79.002259710000004</v>
      </c>
      <c r="F282" s="4">
        <v>3.8931548710000001</v>
      </c>
      <c r="G282" s="4">
        <v>26.977422860000001</v>
      </c>
      <c r="H282" s="2" t="s">
        <v>28</v>
      </c>
      <c r="I282" s="4">
        <v>22.53375157</v>
      </c>
      <c r="J282" s="4">
        <v>93.297830099999999</v>
      </c>
      <c r="K282" s="5">
        <v>7.6843568080000004</v>
      </c>
      <c r="L282" s="3">
        <v>3</v>
      </c>
      <c r="M282" s="2" t="s">
        <v>763</v>
      </c>
      <c r="N282" s="2" t="s">
        <v>15</v>
      </c>
      <c r="O282" s="4">
        <v>55.905221101658952</v>
      </c>
      <c r="P282" s="2" t="str">
        <f t="shared" si="4"/>
        <v>Outstanding</v>
      </c>
    </row>
    <row r="283" spans="1:16" ht="20.100000000000001" customHeight="1" x14ac:dyDescent="0.3">
      <c r="A283" s="2" t="s">
        <v>161</v>
      </c>
      <c r="B283" s="2" t="s">
        <v>771</v>
      </c>
      <c r="C283" s="3">
        <v>78.383735360000003</v>
      </c>
      <c r="D283" s="2" t="s">
        <v>760</v>
      </c>
      <c r="E283" s="4">
        <v>19.916877719999999</v>
      </c>
      <c r="F283" s="4">
        <v>2.805178781</v>
      </c>
      <c r="G283" s="4">
        <v>32.21173099</v>
      </c>
      <c r="H283" s="2" t="s">
        <v>28</v>
      </c>
      <c r="I283" s="4">
        <v>43.909979470000003</v>
      </c>
      <c r="J283" s="4">
        <v>80.058546430000007</v>
      </c>
      <c r="K283" s="5">
        <v>10.38484263</v>
      </c>
      <c r="L283" s="3">
        <v>7</v>
      </c>
      <c r="M283" s="2" t="s">
        <v>762</v>
      </c>
      <c r="N283" s="2" t="s">
        <v>18</v>
      </c>
      <c r="O283" s="4">
        <v>5.6433670493647154</v>
      </c>
      <c r="P283" s="2" t="str">
        <f t="shared" si="4"/>
        <v>Acceptable</v>
      </c>
    </row>
    <row r="284" spans="1:16" ht="20.100000000000001" customHeight="1" x14ac:dyDescent="0.3">
      <c r="A284" s="2" t="s">
        <v>162</v>
      </c>
      <c r="B284" s="2" t="s">
        <v>771</v>
      </c>
      <c r="C284" s="3">
        <v>75</v>
      </c>
      <c r="D284" s="2" t="s">
        <v>761</v>
      </c>
      <c r="E284" s="4">
        <v>15.058971700000001</v>
      </c>
      <c r="F284" s="4">
        <v>3.216985824</v>
      </c>
      <c r="G284" s="4">
        <v>14.76789076</v>
      </c>
      <c r="H284" s="2" t="s">
        <v>14</v>
      </c>
      <c r="I284" s="4">
        <v>49.868120869999998</v>
      </c>
      <c r="J284" s="4">
        <v>82.179642740000006</v>
      </c>
      <c r="K284" s="5">
        <v>28.05657768</v>
      </c>
      <c r="L284" s="3">
        <v>1</v>
      </c>
      <c r="M284" s="2" t="s">
        <v>762</v>
      </c>
      <c r="N284" s="2" t="s">
        <v>18</v>
      </c>
      <c r="O284" s="4">
        <v>3.6493372006819595</v>
      </c>
      <c r="P284" s="2" t="str">
        <f t="shared" si="4"/>
        <v>Acceptable</v>
      </c>
    </row>
    <row r="285" spans="1:16" ht="20.100000000000001" customHeight="1" x14ac:dyDescent="0.3">
      <c r="A285" s="2" t="s">
        <v>163</v>
      </c>
      <c r="B285" s="2" t="s">
        <v>22</v>
      </c>
      <c r="C285" s="3">
        <v>62</v>
      </c>
      <c r="D285" s="2" t="s">
        <v>757</v>
      </c>
      <c r="E285" s="4">
        <v>12.132557800000001</v>
      </c>
      <c r="F285" s="4">
        <v>2.674690075</v>
      </c>
      <c r="G285" s="4">
        <v>40.196900339999999</v>
      </c>
      <c r="H285" s="2" t="s">
        <v>17</v>
      </c>
      <c r="I285" s="4">
        <v>32.071905350000002</v>
      </c>
      <c r="J285" s="4">
        <v>77.491956060000007</v>
      </c>
      <c r="K285" s="5">
        <v>25.203501729999999</v>
      </c>
      <c r="L285" s="3">
        <v>7</v>
      </c>
      <c r="M285" s="2" t="s">
        <v>762</v>
      </c>
      <c r="N285" s="2" t="s">
        <v>18</v>
      </c>
      <c r="O285" s="4">
        <v>3.4165806212116383</v>
      </c>
      <c r="P285" s="2" t="str">
        <f t="shared" si="4"/>
        <v>Acceptable</v>
      </c>
    </row>
    <row r="286" spans="1:16" ht="20.100000000000001" customHeight="1" x14ac:dyDescent="0.3">
      <c r="A286" s="2" t="s">
        <v>164</v>
      </c>
      <c r="B286" s="2" t="s">
        <v>769</v>
      </c>
      <c r="C286" s="3">
        <v>100</v>
      </c>
      <c r="D286" s="2" t="s">
        <v>760</v>
      </c>
      <c r="E286" s="4">
        <v>30.53308101</v>
      </c>
      <c r="F286" s="4">
        <v>2.3000050339999998</v>
      </c>
      <c r="G286" s="4">
        <v>19.021088750000001</v>
      </c>
      <c r="H286" s="2" t="s">
        <v>17</v>
      </c>
      <c r="I286" s="4">
        <v>52.910502860000001</v>
      </c>
      <c r="J286" s="4">
        <v>67.218740819999994</v>
      </c>
      <c r="K286" s="5">
        <v>2.3311151639999999</v>
      </c>
      <c r="L286" s="3">
        <v>6</v>
      </c>
      <c r="M286" s="2" t="s">
        <v>762</v>
      </c>
      <c r="N286" s="2" t="s">
        <v>21</v>
      </c>
      <c r="O286" s="4">
        <v>4.3687458874303688</v>
      </c>
      <c r="P286" s="2" t="str">
        <f t="shared" si="4"/>
        <v>Acceptable</v>
      </c>
    </row>
    <row r="287" spans="1:16" ht="20.100000000000001" customHeight="1" x14ac:dyDescent="0.3">
      <c r="A287" s="2" t="s">
        <v>165</v>
      </c>
      <c r="B287" s="2" t="s">
        <v>770</v>
      </c>
      <c r="C287" s="3">
        <v>100</v>
      </c>
      <c r="D287" s="2" t="s">
        <v>761</v>
      </c>
      <c r="E287" s="4">
        <v>14.01882399</v>
      </c>
      <c r="F287" s="4">
        <v>1.827241672</v>
      </c>
      <c r="G287" s="4">
        <v>6.2910135880000002</v>
      </c>
      <c r="H287" s="2" t="s">
        <v>24</v>
      </c>
      <c r="I287" s="4">
        <v>58.996115879999998</v>
      </c>
      <c r="J287" s="4">
        <v>90.813519869999993</v>
      </c>
      <c r="K287" s="5">
        <v>33.281956030000003</v>
      </c>
      <c r="L287" s="3">
        <v>7.5153086900000003</v>
      </c>
      <c r="M287" s="2" t="s">
        <v>763</v>
      </c>
      <c r="N287" s="2" t="s">
        <v>15</v>
      </c>
      <c r="O287" s="4">
        <v>4.4604258635453355</v>
      </c>
      <c r="P287" s="2" t="str">
        <f t="shared" si="4"/>
        <v>Acceptable</v>
      </c>
    </row>
    <row r="288" spans="1:16" ht="20.100000000000001" customHeight="1" x14ac:dyDescent="0.3">
      <c r="A288" s="2" t="s">
        <v>166</v>
      </c>
      <c r="B288" s="2" t="s">
        <v>768</v>
      </c>
      <c r="C288" s="3">
        <v>75</v>
      </c>
      <c r="D288" s="2" t="s">
        <v>758</v>
      </c>
      <c r="E288" s="4">
        <v>51.62169093</v>
      </c>
      <c r="F288" s="4">
        <v>1.3035555809999999</v>
      </c>
      <c r="G288" s="4">
        <v>43.16138737</v>
      </c>
      <c r="H288" s="2" t="s">
        <v>24</v>
      </c>
      <c r="I288" s="4">
        <v>22.787479040000001</v>
      </c>
      <c r="J288" s="4">
        <v>58.662494389999999</v>
      </c>
      <c r="K288" s="5">
        <v>7.936964701</v>
      </c>
      <c r="L288" s="3">
        <v>7</v>
      </c>
      <c r="M288" s="2" t="s">
        <v>762</v>
      </c>
      <c r="N288" s="2" t="s">
        <v>18</v>
      </c>
      <c r="O288" s="4">
        <v>13.889467158800292</v>
      </c>
      <c r="P288" s="2" t="str">
        <f t="shared" si="4"/>
        <v>Superior</v>
      </c>
    </row>
    <row r="289" spans="1:16" ht="20.100000000000001" customHeight="1" x14ac:dyDescent="0.3">
      <c r="A289" s="2" t="s">
        <v>167</v>
      </c>
      <c r="B289" s="2" t="s">
        <v>769</v>
      </c>
      <c r="C289" s="3">
        <v>100</v>
      </c>
      <c r="D289" s="2" t="s">
        <v>761</v>
      </c>
      <c r="E289" s="4">
        <v>13.31901732</v>
      </c>
      <c r="F289" s="4">
        <v>0.891295897</v>
      </c>
      <c r="G289" s="4">
        <v>21.63010654</v>
      </c>
      <c r="H289" s="2" t="s">
        <v>24</v>
      </c>
      <c r="I289" s="4">
        <v>81.559323590000005</v>
      </c>
      <c r="J289" s="4">
        <v>177.70866649999999</v>
      </c>
      <c r="K289" s="5">
        <v>38.771438080000003</v>
      </c>
      <c r="L289" s="3">
        <v>7</v>
      </c>
      <c r="M289" s="2" t="s">
        <v>763</v>
      </c>
      <c r="N289" s="2" t="s">
        <v>18</v>
      </c>
      <c r="O289" s="4">
        <v>12.80614763524909</v>
      </c>
      <c r="P289" s="2" t="str">
        <f t="shared" si="4"/>
        <v>Superior</v>
      </c>
    </row>
    <row r="290" spans="1:16" ht="20.100000000000001" customHeight="1" x14ac:dyDescent="0.3">
      <c r="A290" s="2" t="s">
        <v>168</v>
      </c>
      <c r="B290" s="2" t="s">
        <v>770</v>
      </c>
      <c r="C290" s="3">
        <v>75</v>
      </c>
      <c r="D290" s="2" t="s">
        <v>758</v>
      </c>
      <c r="E290" s="4">
        <v>32.524861049999998</v>
      </c>
      <c r="F290" s="4">
        <v>2.2874965039999999</v>
      </c>
      <c r="G290" s="4">
        <v>31.553156170000001</v>
      </c>
      <c r="H290" s="2" t="s">
        <v>14</v>
      </c>
      <c r="I290" s="4">
        <v>23.425767530000002</v>
      </c>
      <c r="J290" s="4">
        <v>83.742620740000007</v>
      </c>
      <c r="K290" s="5">
        <v>25.926677009999999</v>
      </c>
      <c r="L290" s="3">
        <v>2</v>
      </c>
      <c r="M290" s="2" t="s">
        <v>764</v>
      </c>
      <c r="N290" s="2" t="s">
        <v>21</v>
      </c>
      <c r="O290" s="4">
        <v>14.713479522213726</v>
      </c>
      <c r="P290" s="2" t="str">
        <f t="shared" si="4"/>
        <v>Superior</v>
      </c>
    </row>
    <row r="291" spans="1:16" ht="20.100000000000001" customHeight="1" x14ac:dyDescent="0.3">
      <c r="A291" s="2" t="s">
        <v>169</v>
      </c>
      <c r="B291" s="2" t="s">
        <v>769</v>
      </c>
      <c r="C291" s="3">
        <v>85</v>
      </c>
      <c r="D291" s="2" t="s">
        <v>757</v>
      </c>
      <c r="E291" s="4">
        <v>78.158789310000003</v>
      </c>
      <c r="F291" s="4">
        <v>1.5481334950000001</v>
      </c>
      <c r="G291" s="4">
        <v>7.3470290399999998</v>
      </c>
      <c r="H291" s="2" t="s">
        <v>14</v>
      </c>
      <c r="I291" s="4">
        <v>78.178785309999995</v>
      </c>
      <c r="J291" s="4">
        <v>80.782494909999997</v>
      </c>
      <c r="K291" s="5">
        <v>20.83100013</v>
      </c>
      <c r="L291" s="3">
        <v>4</v>
      </c>
      <c r="M291" s="2" t="s">
        <v>762</v>
      </c>
      <c r="N291" s="2" t="s">
        <v>18</v>
      </c>
      <c r="O291" s="4">
        <v>1.7297737154320085</v>
      </c>
      <c r="P291" s="2" t="str">
        <f t="shared" si="4"/>
        <v>Low</v>
      </c>
    </row>
    <row r="292" spans="1:16" ht="20.100000000000001" customHeight="1" x14ac:dyDescent="0.3">
      <c r="A292" s="2" t="s">
        <v>170</v>
      </c>
      <c r="B292" s="2" t="s">
        <v>769</v>
      </c>
      <c r="C292" s="3">
        <v>75</v>
      </c>
      <c r="D292" s="2" t="s">
        <v>757</v>
      </c>
      <c r="E292" s="4">
        <v>5.3378360740000002</v>
      </c>
      <c r="F292" s="4">
        <v>1.3473103319999999</v>
      </c>
      <c r="G292" s="4">
        <v>29.154481709999999</v>
      </c>
      <c r="H292" s="2" t="s">
        <v>24</v>
      </c>
      <c r="I292" s="4">
        <v>16.35565442</v>
      </c>
      <c r="J292" s="4">
        <v>88.043702600000003</v>
      </c>
      <c r="K292" s="5">
        <v>29.249086599999998</v>
      </c>
      <c r="L292" s="3">
        <v>0.28840811100000002</v>
      </c>
      <c r="M292" s="2" t="s">
        <v>762</v>
      </c>
      <c r="N292" s="2" t="s">
        <v>15</v>
      </c>
      <c r="O292" s="4">
        <v>2.869942872373906</v>
      </c>
      <c r="P292" s="2" t="str">
        <f t="shared" si="4"/>
        <v>Low</v>
      </c>
    </row>
    <row r="293" spans="1:16" ht="20.100000000000001" customHeight="1" x14ac:dyDescent="0.3">
      <c r="A293" s="2" t="s">
        <v>171</v>
      </c>
      <c r="B293" s="2" t="s">
        <v>771</v>
      </c>
      <c r="C293" s="3">
        <v>75</v>
      </c>
      <c r="D293" s="2" t="s">
        <v>757</v>
      </c>
      <c r="E293" s="4">
        <v>29.318815539999999</v>
      </c>
      <c r="F293" s="4">
        <v>2.0626726770000001</v>
      </c>
      <c r="G293" s="4">
        <v>36.764269759999998</v>
      </c>
      <c r="H293" s="2" t="s">
        <v>24</v>
      </c>
      <c r="I293" s="4">
        <v>54.753180810000003</v>
      </c>
      <c r="J293" s="4">
        <v>80.765271459999994</v>
      </c>
      <c r="K293" s="5">
        <v>6.3255636519999996</v>
      </c>
      <c r="L293" s="3">
        <v>0</v>
      </c>
      <c r="M293" s="2" t="s">
        <v>763</v>
      </c>
      <c r="N293" s="2" t="s">
        <v>15</v>
      </c>
      <c r="O293" s="4">
        <v>5.7198276568283131</v>
      </c>
      <c r="P293" s="2" t="str">
        <f t="shared" si="4"/>
        <v>Acceptable</v>
      </c>
    </row>
    <row r="294" spans="1:16" ht="20.100000000000001" customHeight="1" x14ac:dyDescent="0.3">
      <c r="A294" s="2" t="s">
        <v>19</v>
      </c>
      <c r="B294" s="2" t="s">
        <v>771</v>
      </c>
      <c r="C294" s="3">
        <v>75</v>
      </c>
      <c r="D294" s="2" t="s">
        <v>761</v>
      </c>
      <c r="E294" s="4">
        <v>19.128875699999998</v>
      </c>
      <c r="F294" s="4">
        <v>2.4526527260000002</v>
      </c>
      <c r="G294" s="4">
        <v>27.513592559999999</v>
      </c>
      <c r="H294" s="2" t="s">
        <v>17</v>
      </c>
      <c r="I294" s="4">
        <v>6.8546044439999996</v>
      </c>
      <c r="J294" s="4">
        <v>69.917615240000003</v>
      </c>
      <c r="K294" s="5">
        <v>21.002001839999998</v>
      </c>
      <c r="L294" s="3">
        <v>2</v>
      </c>
      <c r="M294" s="2" t="s">
        <v>763</v>
      </c>
      <c r="N294" s="2" t="s">
        <v>15</v>
      </c>
      <c r="O294" s="4">
        <v>9.0474337108833147</v>
      </c>
      <c r="P294" s="2" t="str">
        <f t="shared" si="4"/>
        <v>Acceptable</v>
      </c>
    </row>
    <row r="295" spans="1:16" ht="20.100000000000001" customHeight="1" x14ac:dyDescent="0.3">
      <c r="A295" s="2" t="s">
        <v>38</v>
      </c>
      <c r="B295" s="2" t="s">
        <v>768</v>
      </c>
      <c r="C295" s="3">
        <v>75</v>
      </c>
      <c r="D295" s="2" t="s">
        <v>757</v>
      </c>
      <c r="E295" s="4">
        <v>56.593256859999997</v>
      </c>
      <c r="F295" s="4">
        <v>3.1532572550000002</v>
      </c>
      <c r="G295" s="4">
        <v>45.811731000000002</v>
      </c>
      <c r="H295" s="2" t="s">
        <v>24</v>
      </c>
      <c r="I295" s="4">
        <v>29.207671699999999</v>
      </c>
      <c r="J295" s="4">
        <v>85.008106240000004</v>
      </c>
      <c r="K295" s="5">
        <v>12.333415370000001</v>
      </c>
      <c r="L295" s="3">
        <v>0</v>
      </c>
      <c r="M295" s="2" t="s">
        <v>764</v>
      </c>
      <c r="N295" s="2" t="s">
        <v>18</v>
      </c>
      <c r="O295" s="4">
        <v>23.68446243616377</v>
      </c>
      <c r="P295" s="2" t="str">
        <f t="shared" si="4"/>
        <v>Outstanding</v>
      </c>
    </row>
    <row r="296" spans="1:16" ht="20.100000000000001" customHeight="1" x14ac:dyDescent="0.3">
      <c r="A296" s="2" t="s">
        <v>172</v>
      </c>
      <c r="B296" s="2" t="s">
        <v>770</v>
      </c>
      <c r="C296" s="3">
        <v>100</v>
      </c>
      <c r="D296" s="2" t="s">
        <v>759</v>
      </c>
      <c r="E296" s="4">
        <v>5.6995199540000003</v>
      </c>
      <c r="F296" s="4">
        <v>1.0866768979999999</v>
      </c>
      <c r="G296" s="4">
        <v>40.48262896</v>
      </c>
      <c r="H296" s="2" t="s">
        <v>24</v>
      </c>
      <c r="I296" s="4">
        <v>54.544755369999997</v>
      </c>
      <c r="J296" s="4">
        <v>81.030133879999994</v>
      </c>
      <c r="K296" s="5">
        <v>32.634490149999998</v>
      </c>
      <c r="L296" s="3">
        <v>3</v>
      </c>
      <c r="M296" s="2" t="s">
        <v>763</v>
      </c>
      <c r="N296" s="2" t="s">
        <v>15</v>
      </c>
      <c r="O296" s="4">
        <v>1.5095394330698779</v>
      </c>
      <c r="P296" s="2" t="str">
        <f t="shared" si="4"/>
        <v>Low</v>
      </c>
    </row>
    <row r="297" spans="1:16" ht="20.100000000000001" customHeight="1" x14ac:dyDescent="0.3">
      <c r="A297" s="2" t="s">
        <v>173</v>
      </c>
      <c r="B297" s="2" t="s">
        <v>769</v>
      </c>
      <c r="C297" s="3">
        <v>75</v>
      </c>
      <c r="D297" s="2" t="s">
        <v>759</v>
      </c>
      <c r="E297" s="4">
        <v>65.225452279999999</v>
      </c>
      <c r="F297" s="4">
        <v>2.7599862069999999</v>
      </c>
      <c r="G297" s="4">
        <v>18.069592329999999</v>
      </c>
      <c r="H297" s="2" t="s">
        <v>14</v>
      </c>
      <c r="I297" s="4">
        <v>45.506865980000001</v>
      </c>
      <c r="J297" s="4">
        <v>83.407521610000003</v>
      </c>
      <c r="K297" s="5">
        <v>4.0688530360000001</v>
      </c>
      <c r="L297" s="3">
        <v>0</v>
      </c>
      <c r="M297" s="2" t="s">
        <v>764</v>
      </c>
      <c r="N297" s="2" t="s">
        <v>18</v>
      </c>
      <c r="O297" s="4">
        <v>18.540655538814587</v>
      </c>
      <c r="P297" s="2" t="str">
        <f t="shared" si="4"/>
        <v>Superior</v>
      </c>
    </row>
    <row r="298" spans="1:16" ht="20.100000000000001" customHeight="1" x14ac:dyDescent="0.3">
      <c r="A298" s="2" t="s">
        <v>174</v>
      </c>
      <c r="B298" s="2" t="s">
        <v>771</v>
      </c>
      <c r="C298" s="3">
        <v>100</v>
      </c>
      <c r="D298" s="2" t="s">
        <v>758</v>
      </c>
      <c r="E298" s="4">
        <v>23.54038392</v>
      </c>
      <c r="F298" s="4">
        <v>2.5925972769999999</v>
      </c>
      <c r="G298" s="4">
        <v>3.5081614870000002</v>
      </c>
      <c r="H298" s="2" t="s">
        <v>14</v>
      </c>
      <c r="I298" s="4">
        <v>17.17061425</v>
      </c>
      <c r="J298" s="4">
        <v>39.319201669999998</v>
      </c>
      <c r="K298" s="5">
        <v>14.538649319999999</v>
      </c>
      <c r="L298" s="3">
        <v>4</v>
      </c>
      <c r="M298" s="2" t="s">
        <v>763</v>
      </c>
      <c r="N298" s="2" t="s">
        <v>18</v>
      </c>
      <c r="O298" s="4">
        <v>5.2138625115248223</v>
      </c>
      <c r="P298" s="2" t="str">
        <f t="shared" si="4"/>
        <v>Acceptable</v>
      </c>
    </row>
    <row r="299" spans="1:16" ht="20.100000000000001" customHeight="1" x14ac:dyDescent="0.3">
      <c r="A299" s="2" t="s">
        <v>175</v>
      </c>
      <c r="B299" s="2" t="s">
        <v>768</v>
      </c>
      <c r="C299" s="3">
        <v>75</v>
      </c>
      <c r="D299" s="2" t="s">
        <v>757</v>
      </c>
      <c r="E299" s="4">
        <v>18.549702419999999</v>
      </c>
      <c r="F299" s="4">
        <v>1.8288785409999999</v>
      </c>
      <c r="G299" s="4">
        <v>13.855271549999999</v>
      </c>
      <c r="H299" s="2" t="s">
        <v>28</v>
      </c>
      <c r="I299" s="4">
        <v>37.871000889999998</v>
      </c>
      <c r="J299" s="4">
        <v>66.165043749999995</v>
      </c>
      <c r="K299" s="5">
        <v>26.694888259999999</v>
      </c>
      <c r="L299" s="3">
        <v>7</v>
      </c>
      <c r="M299" s="2" t="s">
        <v>764</v>
      </c>
      <c r="N299" s="2" t="s">
        <v>18</v>
      </c>
      <c r="O299" s="4">
        <v>3.936345564837942</v>
      </c>
      <c r="P299" s="2" t="str">
        <f t="shared" si="4"/>
        <v>Acceptable</v>
      </c>
    </row>
    <row r="300" spans="1:16" ht="20.100000000000001" customHeight="1" x14ac:dyDescent="0.3">
      <c r="A300" s="2" t="s">
        <v>176</v>
      </c>
      <c r="B300" s="2" t="s">
        <v>770</v>
      </c>
      <c r="C300" s="3">
        <v>33.377023569999999</v>
      </c>
      <c r="D300" s="2" t="s">
        <v>757</v>
      </c>
      <c r="E300" s="4">
        <v>20.763187640000002</v>
      </c>
      <c r="F300" s="4">
        <v>2.6865649820000002</v>
      </c>
      <c r="G300" s="4">
        <v>23.992849570000001</v>
      </c>
      <c r="H300" s="2" t="s">
        <v>17</v>
      </c>
      <c r="I300" s="4">
        <v>27.400426700000001</v>
      </c>
      <c r="J300" s="4">
        <v>55.234005199999999</v>
      </c>
      <c r="K300" s="5">
        <v>8.3168221209999995</v>
      </c>
      <c r="L300" s="3">
        <v>2</v>
      </c>
      <c r="M300" s="2" t="s">
        <v>762</v>
      </c>
      <c r="N300" s="2" t="s">
        <v>21</v>
      </c>
      <c r="O300" s="4">
        <v>1.9289042960872416</v>
      </c>
      <c r="P300" s="2" t="str">
        <f t="shared" si="4"/>
        <v>Low</v>
      </c>
    </row>
    <row r="301" spans="1:16" ht="20.100000000000001" customHeight="1" x14ac:dyDescent="0.3">
      <c r="A301" s="2" t="s">
        <v>177</v>
      </c>
      <c r="B301" s="2" t="s">
        <v>768</v>
      </c>
      <c r="C301" s="3">
        <v>85</v>
      </c>
      <c r="D301" s="2" t="s">
        <v>758</v>
      </c>
      <c r="E301" s="4">
        <v>46.454781150000002</v>
      </c>
      <c r="F301" s="4">
        <v>3.9365705370000001</v>
      </c>
      <c r="G301" s="4">
        <v>42.838482800000001</v>
      </c>
      <c r="H301" s="2" t="s">
        <v>17</v>
      </c>
      <c r="I301" s="4">
        <v>12.79308917</v>
      </c>
      <c r="J301" s="4">
        <v>70.717972570000001</v>
      </c>
      <c r="K301" s="5">
        <v>26.511767469999999</v>
      </c>
      <c r="L301" s="3">
        <v>1.755443935</v>
      </c>
      <c r="M301" s="2" t="s">
        <v>762</v>
      </c>
      <c r="N301" s="2" t="s">
        <v>15</v>
      </c>
      <c r="O301" s="4">
        <v>22.872546142633279</v>
      </c>
      <c r="P301" s="2" t="str">
        <f t="shared" si="4"/>
        <v>Outstanding</v>
      </c>
    </row>
    <row r="302" spans="1:16" ht="20.100000000000001" customHeight="1" x14ac:dyDescent="0.3">
      <c r="A302" s="2" t="s">
        <v>178</v>
      </c>
      <c r="B302" s="2" t="s">
        <v>769</v>
      </c>
      <c r="C302" s="3">
        <v>85</v>
      </c>
      <c r="D302" s="2" t="s">
        <v>759</v>
      </c>
      <c r="E302" s="4">
        <v>49.749341899999997</v>
      </c>
      <c r="F302" s="4">
        <v>2.0082219750000001</v>
      </c>
      <c r="G302" s="4">
        <v>33.702341199999999</v>
      </c>
      <c r="H302" s="2" t="s">
        <v>28</v>
      </c>
      <c r="I302" s="4">
        <v>62.63796602</v>
      </c>
      <c r="J302" s="4">
        <v>87.470101589999999</v>
      </c>
      <c r="K302" s="5">
        <v>31.464224789999999</v>
      </c>
      <c r="L302" s="3">
        <v>0</v>
      </c>
      <c r="M302" s="2" t="s">
        <v>764</v>
      </c>
      <c r="N302" s="2" t="s">
        <v>21</v>
      </c>
      <c r="O302" s="4">
        <v>10.500750421922191</v>
      </c>
      <c r="P302" s="2" t="str">
        <f t="shared" si="4"/>
        <v>Superior</v>
      </c>
    </row>
    <row r="303" spans="1:16" ht="20.100000000000001" customHeight="1" x14ac:dyDescent="0.3">
      <c r="A303" s="2" t="s">
        <v>179</v>
      </c>
      <c r="B303" s="2" t="s">
        <v>769</v>
      </c>
      <c r="C303" s="3">
        <v>100</v>
      </c>
      <c r="D303" s="2" t="s">
        <v>758</v>
      </c>
      <c r="E303" s="4">
        <v>66.174915560000002</v>
      </c>
      <c r="F303" s="4">
        <v>1.590891399</v>
      </c>
      <c r="G303" s="4">
        <v>4.0960525060000004</v>
      </c>
      <c r="H303" s="2" t="s">
        <v>28</v>
      </c>
      <c r="I303" s="4">
        <v>57.518557510000001</v>
      </c>
      <c r="J303" s="4">
        <v>59.218344209999998</v>
      </c>
      <c r="K303" s="5">
        <v>12.62900175</v>
      </c>
      <c r="L303" s="3">
        <v>2</v>
      </c>
      <c r="M303" s="2" t="s">
        <v>764</v>
      </c>
      <c r="N303" s="2" t="s">
        <v>18</v>
      </c>
      <c r="O303" s="4">
        <v>1.1248324134251086</v>
      </c>
      <c r="P303" s="2" t="str">
        <f t="shared" si="4"/>
        <v>Low</v>
      </c>
    </row>
    <row r="304" spans="1:16" ht="20.100000000000001" customHeight="1" x14ac:dyDescent="0.3">
      <c r="A304" s="2" t="s">
        <v>180</v>
      </c>
      <c r="B304" s="2" t="s">
        <v>770</v>
      </c>
      <c r="C304" s="3">
        <v>62</v>
      </c>
      <c r="D304" s="2" t="s">
        <v>760</v>
      </c>
      <c r="E304" s="4">
        <v>6.8854794320000003</v>
      </c>
      <c r="F304" s="4">
        <v>3.50020117</v>
      </c>
      <c r="G304" s="4">
        <v>29.44664264</v>
      </c>
      <c r="H304" s="2" t="s">
        <v>24</v>
      </c>
      <c r="I304" s="4">
        <v>62.995019739999996</v>
      </c>
      <c r="J304" s="4">
        <v>70.587476449999997</v>
      </c>
      <c r="K304" s="5">
        <v>4.0579937370000003</v>
      </c>
      <c r="L304" s="3">
        <v>7</v>
      </c>
      <c r="M304" s="2" t="s">
        <v>764</v>
      </c>
      <c r="N304" s="2" t="s">
        <v>21</v>
      </c>
      <c r="O304" s="4">
        <v>0.32412176799334347</v>
      </c>
      <c r="P304" s="2" t="str">
        <f t="shared" si="4"/>
        <v>Low</v>
      </c>
    </row>
    <row r="305" spans="1:16" ht="20.100000000000001" customHeight="1" x14ac:dyDescent="0.3">
      <c r="A305" s="2" t="s">
        <v>181</v>
      </c>
      <c r="B305" s="2" t="s">
        <v>771</v>
      </c>
      <c r="C305" s="3">
        <v>85</v>
      </c>
      <c r="D305" s="2" t="s">
        <v>759</v>
      </c>
      <c r="E305" s="4">
        <v>37.771614579999998</v>
      </c>
      <c r="F305" s="4">
        <v>4.6157822389999996</v>
      </c>
      <c r="G305" s="4">
        <v>4.0346557159999996</v>
      </c>
      <c r="H305" s="2" t="s">
        <v>14</v>
      </c>
      <c r="I305" s="4">
        <v>52.132449289999997</v>
      </c>
      <c r="J305" s="4">
        <v>93.211808500000004</v>
      </c>
      <c r="K305" s="5">
        <v>1.7308596220000001</v>
      </c>
      <c r="L305" s="3">
        <v>7</v>
      </c>
      <c r="M305" s="2" t="s">
        <v>764</v>
      </c>
      <c r="N305" s="2" t="s">
        <v>18</v>
      </c>
      <c r="O305" s="4">
        <v>13.188886647824694</v>
      </c>
      <c r="P305" s="2" t="str">
        <f t="shared" si="4"/>
        <v>Superior</v>
      </c>
    </row>
    <row r="306" spans="1:16" ht="20.100000000000001" customHeight="1" x14ac:dyDescent="0.3">
      <c r="A306" s="2" t="s">
        <v>182</v>
      </c>
      <c r="B306" s="2" t="s">
        <v>22</v>
      </c>
      <c r="C306" s="3">
        <v>75</v>
      </c>
      <c r="D306" s="2" t="s">
        <v>757</v>
      </c>
      <c r="E306" s="4">
        <v>44.065552750000002</v>
      </c>
      <c r="F306" s="4">
        <v>0.73883189100000002</v>
      </c>
      <c r="G306" s="4">
        <v>18.13617692</v>
      </c>
      <c r="H306" s="2" t="s">
        <v>14</v>
      </c>
      <c r="I306" s="4">
        <v>43.363196719999998</v>
      </c>
      <c r="J306" s="4">
        <v>72.85514963</v>
      </c>
      <c r="K306" s="5">
        <v>21.123505819999998</v>
      </c>
      <c r="L306" s="3">
        <v>6</v>
      </c>
      <c r="M306" s="2" t="s">
        <v>763</v>
      </c>
      <c r="N306" s="2" t="s">
        <v>18</v>
      </c>
      <c r="O306" s="4">
        <v>9.7468440499209095</v>
      </c>
      <c r="P306" s="2" t="str">
        <f t="shared" si="4"/>
        <v>Acceptable</v>
      </c>
    </row>
    <row r="307" spans="1:16" ht="20.100000000000001" customHeight="1" x14ac:dyDescent="0.3">
      <c r="A307" s="2" t="s">
        <v>183</v>
      </c>
      <c r="B307" s="2" t="s">
        <v>22</v>
      </c>
      <c r="C307" s="3">
        <v>100</v>
      </c>
      <c r="D307" s="2" t="s">
        <v>759</v>
      </c>
      <c r="E307" s="4">
        <v>62.319175549999997</v>
      </c>
      <c r="F307" s="4">
        <v>2.9247352719999999</v>
      </c>
      <c r="G307" s="4">
        <v>22.416305959999999</v>
      </c>
      <c r="H307" s="2" t="s">
        <v>24</v>
      </c>
      <c r="I307" s="4">
        <v>21.819886270000001</v>
      </c>
      <c r="J307" s="4">
        <v>61.291067730000002</v>
      </c>
      <c r="K307" s="5">
        <v>11.126462849999999</v>
      </c>
      <c r="L307" s="3">
        <v>6</v>
      </c>
      <c r="M307" s="2" t="s">
        <v>762</v>
      </c>
      <c r="N307" s="2" t="s">
        <v>21</v>
      </c>
      <c r="O307" s="4">
        <v>24.598114865716447</v>
      </c>
      <c r="P307" s="2" t="str">
        <f t="shared" si="4"/>
        <v>Outstanding</v>
      </c>
    </row>
    <row r="308" spans="1:16" ht="20.100000000000001" customHeight="1" x14ac:dyDescent="0.3">
      <c r="A308" s="2" t="s">
        <v>184</v>
      </c>
      <c r="B308" s="2" t="s">
        <v>22</v>
      </c>
      <c r="C308" s="3">
        <v>62</v>
      </c>
      <c r="D308" s="2" t="s">
        <v>759</v>
      </c>
      <c r="E308" s="4">
        <v>64.522431069999996</v>
      </c>
      <c r="F308" s="4">
        <v>1.7249913299999999</v>
      </c>
      <c r="G308" s="4">
        <v>39.247074570000002</v>
      </c>
      <c r="H308" s="2" t="s">
        <v>17</v>
      </c>
      <c r="I308" s="4">
        <v>31.488931189999999</v>
      </c>
      <c r="J308" s="4">
        <v>66.304985029999997</v>
      </c>
      <c r="K308" s="5">
        <v>0.39725980599999999</v>
      </c>
      <c r="L308" s="3">
        <v>6</v>
      </c>
      <c r="M308" s="2" t="s">
        <v>763</v>
      </c>
      <c r="N308" s="2" t="s">
        <v>15</v>
      </c>
      <c r="O308" s="4">
        <v>13.927781890929012</v>
      </c>
      <c r="P308" s="2" t="str">
        <f t="shared" si="4"/>
        <v>Superior</v>
      </c>
    </row>
    <row r="309" spans="1:16" ht="20.100000000000001" customHeight="1" x14ac:dyDescent="0.3">
      <c r="A309" s="2" t="s">
        <v>185</v>
      </c>
      <c r="B309" s="2" t="s">
        <v>770</v>
      </c>
      <c r="C309" s="3">
        <v>100</v>
      </c>
      <c r="D309" s="2" t="s">
        <v>761</v>
      </c>
      <c r="E309" s="4">
        <v>52.996728879999999</v>
      </c>
      <c r="F309" s="4">
        <v>3.5264988700000002</v>
      </c>
      <c r="G309" s="4">
        <v>38.36925514</v>
      </c>
      <c r="H309" s="2" t="s">
        <v>28</v>
      </c>
      <c r="I309" s="4">
        <v>10.950912710000001</v>
      </c>
      <c r="J309" s="4">
        <v>69.302388329999999</v>
      </c>
      <c r="K309" s="5">
        <v>14.17776327</v>
      </c>
      <c r="L309" s="3">
        <v>6</v>
      </c>
      <c r="M309" s="2" t="s">
        <v>762</v>
      </c>
      <c r="N309" s="2" t="s">
        <v>21</v>
      </c>
      <c r="O309" s="4">
        <v>30.924373331810699</v>
      </c>
      <c r="P309" s="2" t="str">
        <f t="shared" si="4"/>
        <v>Outstanding</v>
      </c>
    </row>
    <row r="310" spans="1:16" ht="20.100000000000001" customHeight="1" x14ac:dyDescent="0.3">
      <c r="A310" s="2" t="s">
        <v>186</v>
      </c>
      <c r="B310" s="2" t="s">
        <v>770</v>
      </c>
      <c r="C310" s="3">
        <v>75</v>
      </c>
      <c r="D310" s="2" t="s">
        <v>757</v>
      </c>
      <c r="E310" s="4">
        <v>74.739387539999996</v>
      </c>
      <c r="F310" s="4">
        <v>9.5314416999999999E-2</v>
      </c>
      <c r="G310" s="4">
        <v>44.050484560000001</v>
      </c>
      <c r="H310" s="2" t="s">
        <v>17</v>
      </c>
      <c r="I310" s="4">
        <v>27.62289342</v>
      </c>
      <c r="J310" s="4">
        <v>61.325182769999998</v>
      </c>
      <c r="K310" s="5">
        <v>9.9901996369999999</v>
      </c>
      <c r="L310" s="3">
        <v>3.176061926</v>
      </c>
      <c r="M310" s="2" t="s">
        <v>763</v>
      </c>
      <c r="N310" s="2" t="s">
        <v>18</v>
      </c>
      <c r="O310" s="4">
        <v>18.891663485361484</v>
      </c>
      <c r="P310" s="2" t="str">
        <f t="shared" si="4"/>
        <v>Superior</v>
      </c>
    </row>
    <row r="311" spans="1:16" ht="20.100000000000001" customHeight="1" x14ac:dyDescent="0.3">
      <c r="A311" s="2" t="s">
        <v>187</v>
      </c>
      <c r="B311" s="2" t="s">
        <v>769</v>
      </c>
      <c r="C311" s="3">
        <v>100</v>
      </c>
      <c r="D311" s="2" t="s">
        <v>760</v>
      </c>
      <c r="E311" s="4">
        <v>58.376154450000001</v>
      </c>
      <c r="F311" s="4">
        <v>1.877522371</v>
      </c>
      <c r="G311" s="4">
        <v>4.669667037</v>
      </c>
      <c r="H311" s="2" t="s">
        <v>24</v>
      </c>
      <c r="I311" s="4">
        <v>15.3591674</v>
      </c>
      <c r="J311" s="4">
        <v>56.580277469999999</v>
      </c>
      <c r="K311" s="5">
        <v>16.972016790000001</v>
      </c>
      <c r="L311" s="3">
        <v>3</v>
      </c>
      <c r="M311" s="2" t="s">
        <v>763</v>
      </c>
      <c r="N311" s="2" t="s">
        <v>18</v>
      </c>
      <c r="O311" s="4">
        <v>24.063298880467702</v>
      </c>
      <c r="P311" s="2" t="str">
        <f t="shared" si="4"/>
        <v>Outstanding</v>
      </c>
    </row>
    <row r="312" spans="1:16" ht="20.100000000000001" customHeight="1" x14ac:dyDescent="0.3">
      <c r="A312" s="2" t="s">
        <v>39</v>
      </c>
      <c r="B312" s="2" t="s">
        <v>768</v>
      </c>
      <c r="C312" s="3">
        <v>100</v>
      </c>
      <c r="D312" s="2" t="s">
        <v>760</v>
      </c>
      <c r="E312" s="4">
        <v>16.136238729999999</v>
      </c>
      <c r="F312" s="4">
        <v>1.306927272</v>
      </c>
      <c r="G312" s="4">
        <v>21.517815049999999</v>
      </c>
      <c r="H312" s="2" t="s">
        <v>14</v>
      </c>
      <c r="I312" s="4">
        <v>23.603991430000001</v>
      </c>
      <c r="J312" s="4">
        <v>88.200072800000001</v>
      </c>
      <c r="K312" s="5">
        <v>39.384013920000001</v>
      </c>
      <c r="L312" s="3">
        <v>1</v>
      </c>
      <c r="M312" s="2" t="s">
        <v>763</v>
      </c>
      <c r="N312" s="2" t="s">
        <v>18</v>
      </c>
      <c r="O312" s="4">
        <v>10.423377900088255</v>
      </c>
      <c r="P312" s="2" t="str">
        <f t="shared" si="4"/>
        <v>Superior</v>
      </c>
    </row>
    <row r="313" spans="1:16" ht="20.100000000000001" customHeight="1" x14ac:dyDescent="0.3">
      <c r="A313" s="2" t="s">
        <v>188</v>
      </c>
      <c r="B313" s="2" t="s">
        <v>22</v>
      </c>
      <c r="C313" s="3">
        <v>85</v>
      </c>
      <c r="D313" s="2" t="s">
        <v>761</v>
      </c>
      <c r="E313" s="4">
        <v>13.324611040000001</v>
      </c>
      <c r="F313" s="4">
        <v>1.382019849</v>
      </c>
      <c r="G313" s="4">
        <v>24.742847510000001</v>
      </c>
      <c r="H313" s="2" t="s">
        <v>24</v>
      </c>
      <c r="I313" s="4">
        <v>52.786246259999999</v>
      </c>
      <c r="J313" s="4">
        <v>92.868571990000007</v>
      </c>
      <c r="K313" s="5">
        <v>35.704863860000003</v>
      </c>
      <c r="L313" s="3">
        <v>4</v>
      </c>
      <c r="M313" s="2" t="s">
        <v>764</v>
      </c>
      <c r="N313" s="2" t="s">
        <v>21</v>
      </c>
      <c r="O313" s="4">
        <v>4.5396918994120901</v>
      </c>
      <c r="P313" s="2" t="str">
        <f t="shared" si="4"/>
        <v>Acceptable</v>
      </c>
    </row>
    <row r="314" spans="1:16" ht="20.100000000000001" customHeight="1" x14ac:dyDescent="0.3">
      <c r="A314" s="2" t="s">
        <v>189</v>
      </c>
      <c r="B314" s="2" t="s">
        <v>771</v>
      </c>
      <c r="C314" s="3">
        <v>85</v>
      </c>
      <c r="D314" s="2" t="s">
        <v>758</v>
      </c>
      <c r="E314" s="4">
        <v>14.50345514</v>
      </c>
      <c r="F314" s="4">
        <v>2.240834005</v>
      </c>
      <c r="G314" s="4">
        <v>37.659924879999998</v>
      </c>
      <c r="H314" s="2" t="s">
        <v>17</v>
      </c>
      <c r="I314" s="4">
        <v>51.142145960000001</v>
      </c>
      <c r="J314" s="4">
        <v>99.986604209999996</v>
      </c>
      <c r="K314" s="5">
        <v>12.247398909999999</v>
      </c>
      <c r="L314" s="3">
        <v>3</v>
      </c>
      <c r="M314" s="2" t="s">
        <v>763</v>
      </c>
      <c r="N314" s="2" t="s">
        <v>15</v>
      </c>
      <c r="O314" s="4">
        <v>6.0215139770650614</v>
      </c>
      <c r="P314" s="2" t="str">
        <f t="shared" si="4"/>
        <v>Acceptable</v>
      </c>
    </row>
    <row r="315" spans="1:16" ht="20.100000000000001" customHeight="1" x14ac:dyDescent="0.3">
      <c r="A315" s="2" t="s">
        <v>190</v>
      </c>
      <c r="B315" s="2" t="s">
        <v>770</v>
      </c>
      <c r="C315" s="3">
        <v>6.1688958439999997</v>
      </c>
      <c r="D315" s="2" t="s">
        <v>757</v>
      </c>
      <c r="E315" s="4">
        <v>50.596951310000001</v>
      </c>
      <c r="F315" s="4">
        <v>3.4731728240000002</v>
      </c>
      <c r="G315" s="4">
        <v>9.8600276480000009</v>
      </c>
      <c r="H315" s="2" t="s">
        <v>28</v>
      </c>
      <c r="I315" s="4">
        <v>29.942229309999998</v>
      </c>
      <c r="J315" s="4">
        <v>73.758798650000003</v>
      </c>
      <c r="K315" s="5">
        <v>33.23430132</v>
      </c>
      <c r="L315" s="3">
        <v>2</v>
      </c>
      <c r="M315" s="2" t="s">
        <v>763</v>
      </c>
      <c r="N315" s="2" t="s">
        <v>21</v>
      </c>
      <c r="O315" s="4">
        <v>1.3676348476035789</v>
      </c>
      <c r="P315" s="2" t="str">
        <f t="shared" si="4"/>
        <v>Low</v>
      </c>
    </row>
    <row r="316" spans="1:16" ht="20.100000000000001" customHeight="1" x14ac:dyDescent="0.3">
      <c r="A316" s="2" t="s">
        <v>191</v>
      </c>
      <c r="B316" s="2" t="s">
        <v>768</v>
      </c>
      <c r="C316" s="3">
        <v>62</v>
      </c>
      <c r="D316" s="2" t="s">
        <v>758</v>
      </c>
      <c r="E316" s="4">
        <v>103.8126056</v>
      </c>
      <c r="F316" s="4">
        <v>3.5254454690000001</v>
      </c>
      <c r="G316" s="4">
        <v>16.591382670000002</v>
      </c>
      <c r="H316" s="2" t="s">
        <v>28</v>
      </c>
      <c r="I316" s="4">
        <v>52.796793270000002</v>
      </c>
      <c r="J316" s="4">
        <v>89.351792110000005</v>
      </c>
      <c r="K316" s="5">
        <v>8.3301583560000001</v>
      </c>
      <c r="L316" s="3">
        <v>3.1001692350000001</v>
      </c>
      <c r="M316" s="2" t="s">
        <v>763</v>
      </c>
      <c r="N316" s="2" t="s">
        <v>18</v>
      </c>
      <c r="O316" s="4">
        <v>23.528191999169344</v>
      </c>
      <c r="P316" s="2" t="str">
        <f t="shared" si="4"/>
        <v>Outstanding</v>
      </c>
    </row>
    <row r="317" spans="1:16" ht="20.100000000000001" customHeight="1" x14ac:dyDescent="0.3">
      <c r="A317" s="2" t="s">
        <v>192</v>
      </c>
      <c r="B317" s="2" t="s">
        <v>768</v>
      </c>
      <c r="C317" s="3">
        <v>62</v>
      </c>
      <c r="D317" s="2" t="s">
        <v>758</v>
      </c>
      <c r="E317" s="4">
        <v>62.192833460000003</v>
      </c>
      <c r="F317" s="4">
        <v>0.55521036400000001</v>
      </c>
      <c r="G317" s="4">
        <v>20.452512309999999</v>
      </c>
      <c r="H317" s="2" t="s">
        <v>17</v>
      </c>
      <c r="I317" s="4">
        <v>24.385245600000001</v>
      </c>
      <c r="J317" s="4">
        <v>88.829729479999997</v>
      </c>
      <c r="K317" s="5">
        <v>14.27625134</v>
      </c>
      <c r="L317" s="3">
        <v>4</v>
      </c>
      <c r="M317" s="2" t="s">
        <v>764</v>
      </c>
      <c r="N317" s="2" t="s">
        <v>21</v>
      </c>
      <c r="O317" s="4">
        <v>24.849507330859865</v>
      </c>
      <c r="P317" s="2" t="str">
        <f t="shared" si="4"/>
        <v>Outstanding</v>
      </c>
    </row>
    <row r="318" spans="1:16" ht="20.100000000000001" customHeight="1" x14ac:dyDescent="0.3">
      <c r="A318" s="2" t="s">
        <v>40</v>
      </c>
      <c r="B318" s="2" t="s">
        <v>770</v>
      </c>
      <c r="C318" s="3">
        <v>62</v>
      </c>
      <c r="D318" s="2" t="s">
        <v>758</v>
      </c>
      <c r="E318" s="4">
        <v>60.067085089999999</v>
      </c>
      <c r="F318" s="4">
        <v>0.999100188</v>
      </c>
      <c r="G318" s="4">
        <v>7.6515700469999999</v>
      </c>
      <c r="H318" s="2" t="s">
        <v>24</v>
      </c>
      <c r="I318" s="4">
        <v>22.881466629999998</v>
      </c>
      <c r="J318" s="4">
        <v>51.434278679999998</v>
      </c>
      <c r="K318" s="5">
        <v>13.991597479999999</v>
      </c>
      <c r="L318" s="3">
        <v>1</v>
      </c>
      <c r="M318" s="2" t="s">
        <v>763</v>
      </c>
      <c r="N318" s="2" t="s">
        <v>18</v>
      </c>
      <c r="O318" s="4">
        <v>10.633521983989988</v>
      </c>
      <c r="P318" s="2" t="str">
        <f t="shared" si="4"/>
        <v>Superior</v>
      </c>
    </row>
    <row r="319" spans="1:16" ht="20.100000000000001" customHeight="1" x14ac:dyDescent="0.3">
      <c r="A319" s="2" t="s">
        <v>193</v>
      </c>
      <c r="B319" s="2" t="s">
        <v>770</v>
      </c>
      <c r="C319" s="3">
        <v>100</v>
      </c>
      <c r="D319" s="2" t="s">
        <v>759</v>
      </c>
      <c r="E319" s="4">
        <v>5.7759197350000004</v>
      </c>
      <c r="F319" s="4">
        <v>1.836456796</v>
      </c>
      <c r="G319" s="4">
        <v>33.745379270000001</v>
      </c>
      <c r="H319" s="2" t="s">
        <v>24</v>
      </c>
      <c r="I319" s="4">
        <v>25.118016109999999</v>
      </c>
      <c r="J319" s="4">
        <v>59.046540739999998</v>
      </c>
      <c r="K319" s="5">
        <v>37.101188430000001</v>
      </c>
      <c r="L319" s="3">
        <v>1</v>
      </c>
      <c r="M319" s="2" t="s">
        <v>763</v>
      </c>
      <c r="N319" s="2" t="s">
        <v>18</v>
      </c>
      <c r="O319" s="4">
        <v>1.9596843498985057</v>
      </c>
      <c r="P319" s="2" t="str">
        <f t="shared" si="4"/>
        <v>Low</v>
      </c>
    </row>
    <row r="320" spans="1:16" ht="20.100000000000001" customHeight="1" x14ac:dyDescent="0.3">
      <c r="A320" s="2" t="s">
        <v>194</v>
      </c>
      <c r="B320" s="2" t="s">
        <v>768</v>
      </c>
      <c r="C320" s="3">
        <v>50</v>
      </c>
      <c r="D320" s="2" t="s">
        <v>760</v>
      </c>
      <c r="E320" s="4">
        <v>56.693301499999997</v>
      </c>
      <c r="F320" s="4">
        <v>2.3918523789999999</v>
      </c>
      <c r="G320" s="4">
        <v>44.995222239999997</v>
      </c>
      <c r="H320" s="2" t="s">
        <v>17</v>
      </c>
      <c r="I320" s="4">
        <v>46.587762079999997</v>
      </c>
      <c r="J320" s="4">
        <v>76.380495030000006</v>
      </c>
      <c r="K320" s="5">
        <v>25.12730865</v>
      </c>
      <c r="L320" s="3">
        <v>0</v>
      </c>
      <c r="M320" s="2" t="s">
        <v>764</v>
      </c>
      <c r="N320" s="2" t="s">
        <v>21</v>
      </c>
      <c r="O320" s="4">
        <v>8.4452419582166733</v>
      </c>
      <c r="P320" s="2" t="str">
        <f t="shared" si="4"/>
        <v>Acceptable</v>
      </c>
    </row>
    <row r="321" spans="1:16" ht="20.100000000000001" customHeight="1" x14ac:dyDescent="0.3">
      <c r="A321" s="2" t="s">
        <v>195</v>
      </c>
      <c r="B321" s="2" t="s">
        <v>22</v>
      </c>
      <c r="C321" s="3">
        <v>85</v>
      </c>
      <c r="D321" s="2" t="s">
        <v>758</v>
      </c>
      <c r="E321" s="4">
        <v>40.161421850000004</v>
      </c>
      <c r="F321" s="4">
        <v>2.5179738719999998</v>
      </c>
      <c r="G321" s="4">
        <v>28.479962130000001</v>
      </c>
      <c r="H321" s="2" t="s">
        <v>14</v>
      </c>
      <c r="I321" s="4">
        <v>35.044534980000002</v>
      </c>
      <c r="J321" s="4">
        <v>94.563591939999995</v>
      </c>
      <c r="K321" s="5">
        <v>13.354387170000001</v>
      </c>
      <c r="L321" s="3">
        <v>2</v>
      </c>
      <c r="M321" s="2" t="s">
        <v>764</v>
      </c>
      <c r="N321" s="2" t="s">
        <v>18</v>
      </c>
      <c r="O321" s="4">
        <v>20.318144614820277</v>
      </c>
      <c r="P321" s="2" t="str">
        <f t="shared" si="4"/>
        <v>Outstanding</v>
      </c>
    </row>
    <row r="322" spans="1:16" ht="20.100000000000001" customHeight="1" x14ac:dyDescent="0.3">
      <c r="A322" s="2" t="s">
        <v>196</v>
      </c>
      <c r="B322" s="2" t="s">
        <v>770</v>
      </c>
      <c r="C322" s="3">
        <v>50</v>
      </c>
      <c r="D322" s="2" t="s">
        <v>760</v>
      </c>
      <c r="E322" s="4">
        <v>67.225151019999998</v>
      </c>
      <c r="F322" s="4">
        <v>0.50460121700000005</v>
      </c>
      <c r="G322" s="4">
        <v>37.236014359999999</v>
      </c>
      <c r="H322" s="2" t="s">
        <v>17</v>
      </c>
      <c r="I322" s="4">
        <v>38.02384077</v>
      </c>
      <c r="J322" s="4">
        <v>94.367655499999998</v>
      </c>
      <c r="K322" s="5">
        <v>12.26524373</v>
      </c>
      <c r="L322" s="3">
        <v>6</v>
      </c>
      <c r="M322" s="2" t="s">
        <v>764</v>
      </c>
      <c r="N322" s="2" t="s">
        <v>15</v>
      </c>
      <c r="O322" s="4">
        <v>18.938607271335751</v>
      </c>
      <c r="P322" s="2" t="str">
        <f t="shared" si="4"/>
        <v>Superior</v>
      </c>
    </row>
    <row r="323" spans="1:16" ht="20.100000000000001" customHeight="1" x14ac:dyDescent="0.3">
      <c r="A323" s="2" t="s">
        <v>41</v>
      </c>
      <c r="B323" s="2" t="s">
        <v>771</v>
      </c>
      <c r="C323" s="3">
        <v>75</v>
      </c>
      <c r="D323" s="2" t="s">
        <v>758</v>
      </c>
      <c r="E323" s="4">
        <v>57.724379460000002</v>
      </c>
      <c r="F323" s="4">
        <v>1.873581597</v>
      </c>
      <c r="G323" s="4">
        <v>4.485647105</v>
      </c>
      <c r="H323" s="2" t="s">
        <v>24</v>
      </c>
      <c r="I323" s="4">
        <v>41.872479640000002</v>
      </c>
      <c r="J323" s="4">
        <v>79.647972769999996</v>
      </c>
      <c r="K323" s="5">
        <v>28.42980738</v>
      </c>
      <c r="L323" s="3">
        <v>1.8091728680000001</v>
      </c>
      <c r="M323" s="2" t="s">
        <v>764</v>
      </c>
      <c r="N323" s="2" t="s">
        <v>21</v>
      </c>
      <c r="O323" s="4">
        <v>16.354251747935571</v>
      </c>
      <c r="P323" s="2" t="str">
        <f t="shared" ref="P323:P386" si="5">IF(O323 &lt; 3, "Low", IF(O323 &lt; 10, "Acceptable", IF(O323 &lt; 20, "Superior", "Outstanding")))</f>
        <v>Superior</v>
      </c>
    </row>
    <row r="324" spans="1:16" ht="20.100000000000001" customHeight="1" x14ac:dyDescent="0.3">
      <c r="A324" s="2" t="s">
        <v>197</v>
      </c>
      <c r="B324" s="2" t="s">
        <v>769</v>
      </c>
      <c r="C324" s="3">
        <v>50</v>
      </c>
      <c r="D324" s="2" t="s">
        <v>760</v>
      </c>
      <c r="E324" s="4">
        <v>76.718446689999993</v>
      </c>
      <c r="F324" s="4">
        <v>3.774909321</v>
      </c>
      <c r="G324" s="4">
        <v>44.137451089999999</v>
      </c>
      <c r="H324" s="2" t="s">
        <v>28</v>
      </c>
      <c r="I324" s="4">
        <v>10.896089229999999</v>
      </c>
      <c r="J324" s="4">
        <v>69.959124799999998</v>
      </c>
      <c r="K324" s="5">
        <v>27.955437209999999</v>
      </c>
      <c r="L324" s="3">
        <v>0</v>
      </c>
      <c r="M324" s="2" t="s">
        <v>762</v>
      </c>
      <c r="N324" s="2" t="s">
        <v>18</v>
      </c>
      <c r="O324" s="4">
        <v>22.656121728633089</v>
      </c>
      <c r="P324" s="2" t="str">
        <f t="shared" si="5"/>
        <v>Outstanding</v>
      </c>
    </row>
    <row r="325" spans="1:16" ht="20.100000000000001" customHeight="1" x14ac:dyDescent="0.3">
      <c r="A325" s="2" t="s">
        <v>198</v>
      </c>
      <c r="B325" s="2" t="s">
        <v>22</v>
      </c>
      <c r="C325" s="3">
        <v>62</v>
      </c>
      <c r="D325" s="2" t="s">
        <v>757</v>
      </c>
      <c r="E325" s="4">
        <v>60.969075889999999</v>
      </c>
      <c r="F325" s="4">
        <v>2.4969601809999999</v>
      </c>
      <c r="G325" s="4">
        <v>6.682750854</v>
      </c>
      <c r="H325" s="2" t="s">
        <v>24</v>
      </c>
      <c r="I325" s="4">
        <v>75.857252059999993</v>
      </c>
      <c r="J325" s="4">
        <v>92.36496167</v>
      </c>
      <c r="K325" s="5">
        <v>20.465566169999999</v>
      </c>
      <c r="L325" s="3">
        <v>6</v>
      </c>
      <c r="M325" s="2" t="s">
        <v>762</v>
      </c>
      <c r="N325" s="2" t="s">
        <v>15</v>
      </c>
      <c r="O325" s="4">
        <v>6.2400507598894706</v>
      </c>
      <c r="P325" s="2" t="str">
        <f t="shared" si="5"/>
        <v>Acceptable</v>
      </c>
    </row>
    <row r="326" spans="1:16" ht="20.100000000000001" customHeight="1" x14ac:dyDescent="0.3">
      <c r="A326" s="2" t="s">
        <v>199</v>
      </c>
      <c r="B326" s="2" t="s">
        <v>22</v>
      </c>
      <c r="C326" s="3">
        <v>62</v>
      </c>
      <c r="D326" s="2" t="s">
        <v>757</v>
      </c>
      <c r="E326" s="4">
        <v>48.324607749999998</v>
      </c>
      <c r="F326" s="4">
        <v>2.311636671</v>
      </c>
      <c r="G326" s="4">
        <v>19.59383734</v>
      </c>
      <c r="H326" s="2" t="s">
        <v>24</v>
      </c>
      <c r="I326" s="4">
        <v>27.014978039999999</v>
      </c>
      <c r="J326" s="4">
        <v>55.86102941</v>
      </c>
      <c r="K326" s="5">
        <v>3.4993413769999999</v>
      </c>
      <c r="L326" s="3">
        <v>2</v>
      </c>
      <c r="M326" s="2" t="s">
        <v>764</v>
      </c>
      <c r="N326" s="2" t="s">
        <v>15</v>
      </c>
      <c r="O326" s="4">
        <v>8.642639529067921</v>
      </c>
      <c r="P326" s="2" t="str">
        <f t="shared" si="5"/>
        <v>Acceptable</v>
      </c>
    </row>
    <row r="327" spans="1:16" ht="20.100000000000001" customHeight="1" x14ac:dyDescent="0.3">
      <c r="A327" s="2" t="s">
        <v>200</v>
      </c>
      <c r="B327" s="2" t="s">
        <v>770</v>
      </c>
      <c r="C327" s="3">
        <v>62</v>
      </c>
      <c r="D327" s="2" t="s">
        <v>759</v>
      </c>
      <c r="E327" s="4">
        <v>65.540824729999997</v>
      </c>
      <c r="F327" s="4">
        <v>1.160654673</v>
      </c>
      <c r="G327" s="4">
        <v>31.8589977</v>
      </c>
      <c r="H327" s="2" t="s">
        <v>14</v>
      </c>
      <c r="I327" s="4">
        <v>25.20190341</v>
      </c>
      <c r="J327" s="4">
        <v>96.763442049999995</v>
      </c>
      <c r="K327" s="5">
        <v>0.94764505099999996</v>
      </c>
      <c r="L327" s="3">
        <v>6</v>
      </c>
      <c r="M327" s="2" t="s">
        <v>763</v>
      </c>
      <c r="N327" s="2" t="s">
        <v>15</v>
      </c>
      <c r="O327" s="4">
        <v>29.079254020762846</v>
      </c>
      <c r="P327" s="2" t="str">
        <f t="shared" si="5"/>
        <v>Outstanding</v>
      </c>
    </row>
    <row r="328" spans="1:16" ht="20.100000000000001" customHeight="1" x14ac:dyDescent="0.3">
      <c r="A328" s="2" t="s">
        <v>201</v>
      </c>
      <c r="B328" s="2" t="s">
        <v>22</v>
      </c>
      <c r="C328" s="3">
        <v>85</v>
      </c>
      <c r="D328" s="2" t="s">
        <v>760</v>
      </c>
      <c r="E328" s="4">
        <v>67.437402570000003</v>
      </c>
      <c r="F328" s="4">
        <v>1.8145610590000001</v>
      </c>
      <c r="G328" s="4">
        <v>16.099348519999999</v>
      </c>
      <c r="H328" s="2" t="s">
        <v>28</v>
      </c>
      <c r="I328" s="4">
        <v>89.870790400000004</v>
      </c>
      <c r="J328" s="4">
        <v>93.901375250000001</v>
      </c>
      <c r="K328" s="5">
        <v>34.082187759999997</v>
      </c>
      <c r="L328" s="3">
        <v>3</v>
      </c>
      <c r="M328" s="2" t="s">
        <v>762</v>
      </c>
      <c r="N328" s="2" t="s">
        <v>18</v>
      </c>
      <c r="O328" s="4">
        <v>2.3104034715369393</v>
      </c>
      <c r="P328" s="2" t="str">
        <f t="shared" si="5"/>
        <v>Low</v>
      </c>
    </row>
    <row r="329" spans="1:16" ht="20.100000000000001" customHeight="1" x14ac:dyDescent="0.3">
      <c r="A329" s="2" t="s">
        <v>202</v>
      </c>
      <c r="B329" s="2" t="s">
        <v>768</v>
      </c>
      <c r="C329" s="3">
        <v>100</v>
      </c>
      <c r="D329" s="2" t="s">
        <v>758</v>
      </c>
      <c r="E329" s="4">
        <v>30.805662000000002</v>
      </c>
      <c r="F329" s="4">
        <v>1.037860072</v>
      </c>
      <c r="G329" s="4">
        <v>18.979889350000001</v>
      </c>
      <c r="H329" s="2" t="s">
        <v>28</v>
      </c>
      <c r="I329" s="4">
        <v>60.727202749999996</v>
      </c>
      <c r="J329" s="4">
        <v>61.20655137</v>
      </c>
      <c r="K329" s="5">
        <v>29.114380270000002</v>
      </c>
      <c r="L329" s="3">
        <v>5</v>
      </c>
      <c r="M329" s="2" t="s">
        <v>763</v>
      </c>
      <c r="N329" s="2" t="s">
        <v>18</v>
      </c>
      <c r="O329" s="4">
        <v>0.14766651567886543</v>
      </c>
      <c r="P329" s="2" t="str">
        <f t="shared" si="5"/>
        <v>Low</v>
      </c>
    </row>
    <row r="330" spans="1:16" ht="20.100000000000001" customHeight="1" x14ac:dyDescent="0.3">
      <c r="A330" s="2" t="s">
        <v>203</v>
      </c>
      <c r="B330" s="2" t="s">
        <v>770</v>
      </c>
      <c r="C330" s="3">
        <v>100</v>
      </c>
      <c r="D330" s="2" t="s">
        <v>760</v>
      </c>
      <c r="E330" s="4">
        <v>28.86406096</v>
      </c>
      <c r="F330" s="4">
        <v>2.113671385</v>
      </c>
      <c r="G330" s="4">
        <v>38.34408586</v>
      </c>
      <c r="H330" s="2" t="s">
        <v>28</v>
      </c>
      <c r="I330" s="4">
        <v>27.67853787</v>
      </c>
      <c r="J330" s="4">
        <v>92.572720709999999</v>
      </c>
      <c r="K330" s="5">
        <v>13.194479360000001</v>
      </c>
      <c r="L330" s="3">
        <v>2</v>
      </c>
      <c r="M330" s="2" t="s">
        <v>763</v>
      </c>
      <c r="N330" s="2" t="s">
        <v>18</v>
      </c>
      <c r="O330" s="4">
        <v>18.731096494431458</v>
      </c>
      <c r="P330" s="2" t="str">
        <f t="shared" si="5"/>
        <v>Superior</v>
      </c>
    </row>
    <row r="331" spans="1:16" ht="20.100000000000001" customHeight="1" x14ac:dyDescent="0.3">
      <c r="A331" s="2" t="s">
        <v>42</v>
      </c>
      <c r="B331" s="2" t="s">
        <v>769</v>
      </c>
      <c r="C331" s="3">
        <v>75</v>
      </c>
      <c r="D331" s="2" t="s">
        <v>760</v>
      </c>
      <c r="E331" s="4">
        <v>37.374516059999998</v>
      </c>
      <c r="F331" s="4">
        <v>2.8916769840000001</v>
      </c>
      <c r="G331" s="4">
        <v>18.865801959999999</v>
      </c>
      <c r="H331" s="2" t="s">
        <v>14</v>
      </c>
      <c r="I331" s="4">
        <v>24.49220858</v>
      </c>
      <c r="J331" s="4">
        <v>73.380175730000005</v>
      </c>
      <c r="K331" s="5">
        <v>59.93197387</v>
      </c>
      <c r="L331" s="3">
        <v>4</v>
      </c>
      <c r="M331" s="2" t="s">
        <v>762</v>
      </c>
      <c r="N331" s="2" t="s">
        <v>15</v>
      </c>
      <c r="O331" s="4">
        <v>13.703730850413208</v>
      </c>
      <c r="P331" s="2" t="str">
        <f t="shared" si="5"/>
        <v>Superior</v>
      </c>
    </row>
    <row r="332" spans="1:16" ht="20.100000000000001" customHeight="1" x14ac:dyDescent="0.3">
      <c r="A332" s="2" t="s">
        <v>204</v>
      </c>
      <c r="B332" s="2" t="s">
        <v>769</v>
      </c>
      <c r="C332" s="3">
        <v>75</v>
      </c>
      <c r="D332" s="2" t="s">
        <v>759</v>
      </c>
      <c r="E332" s="4">
        <v>33.370542030000003</v>
      </c>
      <c r="F332" s="4">
        <v>2.4863752529999998</v>
      </c>
      <c r="G332" s="4">
        <v>41.929168590000003</v>
      </c>
      <c r="H332" s="2" t="s">
        <v>14</v>
      </c>
      <c r="I332" s="4">
        <v>58.60908208</v>
      </c>
      <c r="J332" s="4">
        <v>71.219560419999993</v>
      </c>
      <c r="K332" s="5">
        <v>15.41843342</v>
      </c>
      <c r="L332" s="3">
        <v>8.0186657330000006</v>
      </c>
      <c r="M332" s="2" t="s">
        <v>762</v>
      </c>
      <c r="N332" s="2" t="s">
        <v>15</v>
      </c>
      <c r="O332" s="4">
        <v>3.1561387309753082</v>
      </c>
      <c r="P332" s="2" t="str">
        <f t="shared" si="5"/>
        <v>Acceptable</v>
      </c>
    </row>
    <row r="333" spans="1:16" ht="20.100000000000001" customHeight="1" x14ac:dyDescent="0.3">
      <c r="A333" s="2" t="s">
        <v>205</v>
      </c>
      <c r="B333" s="2" t="s">
        <v>768</v>
      </c>
      <c r="C333" s="3">
        <v>77.608478050000002</v>
      </c>
      <c r="D333" s="2" t="s">
        <v>758</v>
      </c>
      <c r="E333" s="4">
        <v>73.090450770000004</v>
      </c>
      <c r="F333" s="4">
        <v>1.7540479470000001</v>
      </c>
      <c r="G333" s="4">
        <v>30.388803809999999</v>
      </c>
      <c r="H333" s="2" t="s">
        <v>17</v>
      </c>
      <c r="I333" s="4">
        <v>29.666501459999999</v>
      </c>
      <c r="J333" s="4">
        <v>99.856850769999994</v>
      </c>
      <c r="K333" s="5">
        <v>2.5942497260000001</v>
      </c>
      <c r="L333" s="3">
        <v>7</v>
      </c>
      <c r="M333" s="2" t="s">
        <v>764</v>
      </c>
      <c r="N333" s="2" t="s">
        <v>18</v>
      </c>
      <c r="O333" s="4">
        <v>39.815044987932048</v>
      </c>
      <c r="P333" s="2" t="str">
        <f t="shared" si="5"/>
        <v>Outstanding</v>
      </c>
    </row>
    <row r="334" spans="1:16" ht="20.100000000000001" customHeight="1" x14ac:dyDescent="0.3">
      <c r="A334" s="2" t="s">
        <v>206</v>
      </c>
      <c r="B334" s="2" t="s">
        <v>768</v>
      </c>
      <c r="C334" s="3">
        <v>75</v>
      </c>
      <c r="D334" s="2" t="s">
        <v>758</v>
      </c>
      <c r="E334" s="4">
        <v>26.992344079999999</v>
      </c>
      <c r="F334" s="4">
        <v>3.5489835260000002</v>
      </c>
      <c r="G334" s="4">
        <v>46.581371179999998</v>
      </c>
      <c r="H334" s="2" t="s">
        <v>17</v>
      </c>
      <c r="I334" s="4">
        <v>23.69485787</v>
      </c>
      <c r="J334" s="4">
        <v>56.105310209999999</v>
      </c>
      <c r="K334" s="5">
        <v>25.109612250000001</v>
      </c>
      <c r="L334" s="3">
        <v>1</v>
      </c>
      <c r="M334" s="2" t="s">
        <v>763</v>
      </c>
      <c r="N334" s="2" t="s">
        <v>15</v>
      </c>
      <c r="O334" s="4">
        <v>6.5612556101229087</v>
      </c>
      <c r="P334" s="2" t="str">
        <f t="shared" si="5"/>
        <v>Acceptable</v>
      </c>
    </row>
    <row r="335" spans="1:16" ht="20.100000000000001" customHeight="1" x14ac:dyDescent="0.3">
      <c r="A335" s="2" t="s">
        <v>207</v>
      </c>
      <c r="B335" s="2" t="s">
        <v>769</v>
      </c>
      <c r="C335" s="3">
        <v>50</v>
      </c>
      <c r="D335" s="2" t="s">
        <v>759</v>
      </c>
      <c r="E335" s="4">
        <v>42.29018027</v>
      </c>
      <c r="F335" s="4">
        <v>2.0122929950000001</v>
      </c>
      <c r="G335" s="4">
        <v>37.806096359999998</v>
      </c>
      <c r="H335" s="2" t="s">
        <v>24</v>
      </c>
      <c r="I335" s="4">
        <v>81.102162039999996</v>
      </c>
      <c r="J335" s="4">
        <v>92.833604600000001</v>
      </c>
      <c r="K335" s="5">
        <v>36.826583980000002</v>
      </c>
      <c r="L335" s="3">
        <v>10.54723654</v>
      </c>
      <c r="M335" s="2" t="s">
        <v>762</v>
      </c>
      <c r="N335" s="2" t="s">
        <v>18</v>
      </c>
      <c r="O335" s="4">
        <v>2.4806241034477527</v>
      </c>
      <c r="P335" s="2" t="str">
        <f t="shared" si="5"/>
        <v>Low</v>
      </c>
    </row>
    <row r="336" spans="1:16" ht="20.100000000000001" customHeight="1" x14ac:dyDescent="0.3">
      <c r="A336" s="2" t="s">
        <v>208</v>
      </c>
      <c r="B336" s="2" t="s">
        <v>768</v>
      </c>
      <c r="C336" s="3">
        <v>100</v>
      </c>
      <c r="D336" s="2" t="s">
        <v>759</v>
      </c>
      <c r="E336" s="4">
        <v>30.036118380000001</v>
      </c>
      <c r="F336" s="4">
        <v>1.6434822520000001</v>
      </c>
      <c r="G336" s="4">
        <v>13.372949050000001</v>
      </c>
      <c r="H336" s="2" t="s">
        <v>24</v>
      </c>
      <c r="I336" s="4">
        <v>14.364249190000001</v>
      </c>
      <c r="J336" s="4">
        <v>80.385408369999993</v>
      </c>
      <c r="K336" s="5">
        <v>34.95455888</v>
      </c>
      <c r="L336" s="3">
        <v>6</v>
      </c>
      <c r="M336" s="2" t="s">
        <v>764</v>
      </c>
      <c r="N336" s="2" t="s">
        <v>15</v>
      </c>
      <c r="O336" s="4">
        <v>19.830193527153039</v>
      </c>
      <c r="P336" s="2" t="str">
        <f t="shared" si="5"/>
        <v>Superior</v>
      </c>
    </row>
    <row r="337" spans="1:16" ht="20.100000000000001" customHeight="1" x14ac:dyDescent="0.3">
      <c r="A337" s="2" t="s">
        <v>209</v>
      </c>
      <c r="B337" s="2" t="s">
        <v>769</v>
      </c>
      <c r="C337" s="3">
        <v>62</v>
      </c>
      <c r="D337" s="2" t="s">
        <v>760</v>
      </c>
      <c r="E337" s="4">
        <v>10.386093779999999</v>
      </c>
      <c r="F337" s="4">
        <v>1.2425644199999999</v>
      </c>
      <c r="G337" s="4">
        <v>47.766494440000002</v>
      </c>
      <c r="H337" s="2" t="s">
        <v>17</v>
      </c>
      <c r="I337" s="4">
        <v>56.663663730000003</v>
      </c>
      <c r="J337" s="4">
        <v>73.290282719999993</v>
      </c>
      <c r="K337" s="5">
        <v>16.830516159999998</v>
      </c>
      <c r="L337" s="3">
        <v>0</v>
      </c>
      <c r="M337" s="2" t="s">
        <v>763</v>
      </c>
      <c r="N337" s="2" t="s">
        <v>21</v>
      </c>
      <c r="O337" s="4">
        <v>1.0706508692617063</v>
      </c>
      <c r="P337" s="2" t="str">
        <f t="shared" si="5"/>
        <v>Low</v>
      </c>
    </row>
    <row r="338" spans="1:16" ht="20.100000000000001" customHeight="1" x14ac:dyDescent="0.3">
      <c r="A338" s="2" t="s">
        <v>210</v>
      </c>
      <c r="B338" s="2" t="s">
        <v>768</v>
      </c>
      <c r="C338" s="3">
        <v>50</v>
      </c>
      <c r="D338" s="2" t="s">
        <v>760</v>
      </c>
      <c r="E338" s="4">
        <v>45.71947918</v>
      </c>
      <c r="F338" s="4">
        <v>2.8721617300000002</v>
      </c>
      <c r="G338" s="4">
        <v>47.842556600000002</v>
      </c>
      <c r="H338" s="2" t="s">
        <v>28</v>
      </c>
      <c r="I338" s="4">
        <v>35.421950000000002</v>
      </c>
      <c r="J338" s="4">
        <v>88.853549569999998</v>
      </c>
      <c r="K338" s="5">
        <v>34.297789399999999</v>
      </c>
      <c r="L338" s="3">
        <v>7</v>
      </c>
      <c r="M338" s="2" t="s">
        <v>763</v>
      </c>
      <c r="N338" s="2" t="s">
        <v>15</v>
      </c>
      <c r="O338" s="4">
        <v>12.214324520473559</v>
      </c>
      <c r="P338" s="2" t="str">
        <f t="shared" si="5"/>
        <v>Superior</v>
      </c>
    </row>
    <row r="339" spans="1:16" ht="20.100000000000001" customHeight="1" x14ac:dyDescent="0.3">
      <c r="A339" s="2" t="s">
        <v>211</v>
      </c>
      <c r="B339" s="2" t="s">
        <v>771</v>
      </c>
      <c r="C339" s="3">
        <v>50</v>
      </c>
      <c r="D339" s="2" t="s">
        <v>757</v>
      </c>
      <c r="E339" s="4">
        <v>24.599629700000001</v>
      </c>
      <c r="F339" s="4">
        <v>2.0078608679999999</v>
      </c>
      <c r="G339" s="4">
        <v>11.82017579</v>
      </c>
      <c r="H339" s="2" t="s">
        <v>24</v>
      </c>
      <c r="I339" s="4">
        <v>51.188263079999999</v>
      </c>
      <c r="J339" s="4">
        <v>63.465824759999997</v>
      </c>
      <c r="K339" s="5">
        <v>14.20548992</v>
      </c>
      <c r="L339" s="3">
        <v>1</v>
      </c>
      <c r="M339" s="2" t="s">
        <v>763</v>
      </c>
      <c r="N339" s="2" t="s">
        <v>15</v>
      </c>
      <c r="O339" s="4">
        <v>1.5101173547345494</v>
      </c>
      <c r="P339" s="2" t="str">
        <f t="shared" si="5"/>
        <v>Low</v>
      </c>
    </row>
    <row r="340" spans="1:16" ht="20.100000000000001" customHeight="1" x14ac:dyDescent="0.3">
      <c r="A340" s="2" t="s">
        <v>212</v>
      </c>
      <c r="B340" s="2" t="s">
        <v>769</v>
      </c>
      <c r="C340" s="3">
        <v>85</v>
      </c>
      <c r="D340" s="2" t="s">
        <v>761</v>
      </c>
      <c r="E340" s="4">
        <v>52.716412149999996</v>
      </c>
      <c r="F340" s="4">
        <v>0.56281694000000004</v>
      </c>
      <c r="G340" s="4">
        <v>6.4225565390000003</v>
      </c>
      <c r="H340" s="2" t="s">
        <v>28</v>
      </c>
      <c r="I340" s="4">
        <v>37.682102720000003</v>
      </c>
      <c r="J340" s="4">
        <v>81.907228419999996</v>
      </c>
      <c r="K340" s="5">
        <v>0.16699760499999999</v>
      </c>
      <c r="L340" s="3">
        <v>7</v>
      </c>
      <c r="M340" s="2" t="s">
        <v>764</v>
      </c>
      <c r="N340" s="2" t="s">
        <v>21</v>
      </c>
      <c r="O340" s="4">
        <v>19.816814607187432</v>
      </c>
      <c r="P340" s="2" t="str">
        <f t="shared" si="5"/>
        <v>Superior</v>
      </c>
    </row>
    <row r="341" spans="1:16" ht="20.100000000000001" customHeight="1" x14ac:dyDescent="0.3">
      <c r="A341" s="2" t="s">
        <v>213</v>
      </c>
      <c r="B341" s="2" t="s">
        <v>768</v>
      </c>
      <c r="C341" s="3">
        <v>48.636931250000004</v>
      </c>
      <c r="D341" s="2" t="s">
        <v>759</v>
      </c>
      <c r="E341" s="4">
        <v>68.25299905</v>
      </c>
      <c r="F341" s="4">
        <v>1.6319957439999999</v>
      </c>
      <c r="G341" s="4">
        <v>29.208426800000002</v>
      </c>
      <c r="H341" s="2" t="s">
        <v>24</v>
      </c>
      <c r="I341" s="4">
        <v>85.902461959999997</v>
      </c>
      <c r="J341" s="4">
        <v>91.278224469999998</v>
      </c>
      <c r="K341" s="5">
        <v>37.528822640000001</v>
      </c>
      <c r="L341" s="3">
        <v>0</v>
      </c>
      <c r="M341" s="2" t="s">
        <v>763</v>
      </c>
      <c r="N341" s="2" t="s">
        <v>21</v>
      </c>
      <c r="O341" s="4">
        <v>1.7845469511124514</v>
      </c>
      <c r="P341" s="2" t="str">
        <f t="shared" si="5"/>
        <v>Low</v>
      </c>
    </row>
    <row r="342" spans="1:16" ht="20.100000000000001" customHeight="1" x14ac:dyDescent="0.3">
      <c r="A342" s="2" t="s">
        <v>214</v>
      </c>
      <c r="B342" s="2" t="s">
        <v>22</v>
      </c>
      <c r="C342" s="3">
        <v>85</v>
      </c>
      <c r="D342" s="2" t="s">
        <v>759</v>
      </c>
      <c r="E342" s="4">
        <v>56.420229990000003</v>
      </c>
      <c r="F342" s="4">
        <v>0.82887328400000004</v>
      </c>
      <c r="G342" s="4">
        <v>25.402852410000001</v>
      </c>
      <c r="H342" s="2" t="s">
        <v>24</v>
      </c>
      <c r="I342" s="4">
        <v>32.612386569999998</v>
      </c>
      <c r="J342" s="4">
        <v>65.160073569999994</v>
      </c>
      <c r="K342" s="5">
        <v>17.596802360000002</v>
      </c>
      <c r="L342" s="3">
        <v>4</v>
      </c>
      <c r="M342" s="2" t="s">
        <v>762</v>
      </c>
      <c r="N342" s="2" t="s">
        <v>21</v>
      </c>
      <c r="O342" s="4">
        <v>15.608957882551531</v>
      </c>
      <c r="P342" s="2" t="str">
        <f t="shared" si="5"/>
        <v>Superior</v>
      </c>
    </row>
    <row r="343" spans="1:16" ht="20.100000000000001" customHeight="1" x14ac:dyDescent="0.3">
      <c r="A343" s="2" t="s">
        <v>215</v>
      </c>
      <c r="B343" s="2" t="s">
        <v>771</v>
      </c>
      <c r="C343" s="3">
        <v>75</v>
      </c>
      <c r="D343" s="2" t="s">
        <v>758</v>
      </c>
      <c r="E343" s="4">
        <v>52.904463669999998</v>
      </c>
      <c r="F343" s="4">
        <v>1.546956035</v>
      </c>
      <c r="G343" s="4">
        <v>15.57205559</v>
      </c>
      <c r="H343" s="2" t="s">
        <v>28</v>
      </c>
      <c r="I343" s="4">
        <v>89.838610700000004</v>
      </c>
      <c r="J343" s="4">
        <v>97.495380470000001</v>
      </c>
      <c r="K343" s="5">
        <v>32.57385369</v>
      </c>
      <c r="L343" s="3">
        <v>3</v>
      </c>
      <c r="M343" s="2" t="s">
        <v>763</v>
      </c>
      <c r="N343" s="2" t="s">
        <v>21</v>
      </c>
      <c r="O343" s="4">
        <v>3.0380797359488927</v>
      </c>
      <c r="P343" s="2" t="str">
        <f t="shared" si="5"/>
        <v>Acceptable</v>
      </c>
    </row>
    <row r="344" spans="1:16" ht="20.100000000000001" customHeight="1" x14ac:dyDescent="0.3">
      <c r="A344" s="2" t="s">
        <v>216</v>
      </c>
      <c r="B344" s="2" t="s">
        <v>22</v>
      </c>
      <c r="C344" s="3">
        <v>75</v>
      </c>
      <c r="D344" s="2" t="s">
        <v>757</v>
      </c>
      <c r="E344" s="4">
        <v>55.782977459999998</v>
      </c>
      <c r="F344" s="4">
        <v>1.3767971560000001</v>
      </c>
      <c r="G344" s="4">
        <v>46.333341900000001</v>
      </c>
      <c r="H344" s="2" t="s">
        <v>28</v>
      </c>
      <c r="I344" s="4">
        <v>29.614363229999999</v>
      </c>
      <c r="J344" s="4">
        <v>88.378428119999995</v>
      </c>
      <c r="K344" s="5">
        <v>14.240494890000001</v>
      </c>
      <c r="L344" s="3">
        <v>4</v>
      </c>
      <c r="M344" s="2" t="s">
        <v>762</v>
      </c>
      <c r="N344" s="2" t="s">
        <v>15</v>
      </c>
      <c r="O344" s="4">
        <v>24.585258804126354</v>
      </c>
      <c r="P344" s="2" t="str">
        <f t="shared" si="5"/>
        <v>Outstanding</v>
      </c>
    </row>
    <row r="345" spans="1:16" ht="20.100000000000001" customHeight="1" x14ac:dyDescent="0.3">
      <c r="A345" s="2" t="s">
        <v>217</v>
      </c>
      <c r="B345" s="2" t="s">
        <v>22</v>
      </c>
      <c r="C345" s="3">
        <v>85</v>
      </c>
      <c r="D345" s="2" t="s">
        <v>759</v>
      </c>
      <c r="E345" s="4">
        <v>16.673599459999998</v>
      </c>
      <c r="F345" s="4">
        <v>1.809282616</v>
      </c>
      <c r="G345" s="4">
        <v>32.994829590000002</v>
      </c>
      <c r="H345" s="2" t="s">
        <v>14</v>
      </c>
      <c r="I345" s="4">
        <v>77.485143370000003</v>
      </c>
      <c r="J345" s="4">
        <v>88.665432139999993</v>
      </c>
      <c r="K345" s="5">
        <v>33.729320770000001</v>
      </c>
      <c r="L345" s="3">
        <v>6</v>
      </c>
      <c r="M345" s="2" t="s">
        <v>764</v>
      </c>
      <c r="N345" s="2" t="s">
        <v>21</v>
      </c>
      <c r="O345" s="4">
        <v>1.5845330827839847</v>
      </c>
      <c r="P345" s="2" t="str">
        <f t="shared" si="5"/>
        <v>Low</v>
      </c>
    </row>
    <row r="346" spans="1:16" ht="20.100000000000001" customHeight="1" x14ac:dyDescent="0.3">
      <c r="A346" s="2" t="s">
        <v>43</v>
      </c>
      <c r="B346" s="2" t="s">
        <v>769</v>
      </c>
      <c r="C346" s="3">
        <v>75</v>
      </c>
      <c r="D346" s="2" t="s">
        <v>760</v>
      </c>
      <c r="E346" s="4">
        <v>73.386619519999996</v>
      </c>
      <c r="F346" s="4">
        <v>1.0404523050000001</v>
      </c>
      <c r="G346" s="4">
        <v>38.450831899999997</v>
      </c>
      <c r="H346" s="2" t="s">
        <v>28</v>
      </c>
      <c r="I346" s="4">
        <v>49.275387530000003</v>
      </c>
      <c r="J346" s="4">
        <v>94.597081900000006</v>
      </c>
      <c r="K346" s="5">
        <v>33.92957037</v>
      </c>
      <c r="L346" s="3">
        <v>6</v>
      </c>
      <c r="M346" s="2" t="s">
        <v>764</v>
      </c>
      <c r="N346" s="2" t="s">
        <v>21</v>
      </c>
      <c r="O346" s="4">
        <v>24.945044555496874</v>
      </c>
      <c r="P346" s="2" t="str">
        <f t="shared" si="5"/>
        <v>Outstanding</v>
      </c>
    </row>
    <row r="347" spans="1:16" ht="20.100000000000001" customHeight="1" x14ac:dyDescent="0.3">
      <c r="A347" s="2" t="s">
        <v>218</v>
      </c>
      <c r="B347" s="2" t="s">
        <v>769</v>
      </c>
      <c r="C347" s="3">
        <v>100</v>
      </c>
      <c r="D347" s="2" t="s">
        <v>760</v>
      </c>
      <c r="E347" s="4">
        <v>13.28071233</v>
      </c>
      <c r="F347" s="4">
        <v>1.761441322</v>
      </c>
      <c r="G347" s="4">
        <v>59.148544889999997</v>
      </c>
      <c r="H347" s="2" t="s">
        <v>24</v>
      </c>
      <c r="I347" s="4">
        <v>76.558211900000003</v>
      </c>
      <c r="J347" s="4">
        <v>81.582009499999998</v>
      </c>
      <c r="K347" s="5">
        <v>4.2060906390000001</v>
      </c>
      <c r="L347" s="3">
        <v>5</v>
      </c>
      <c r="M347" s="2" t="s">
        <v>762</v>
      </c>
      <c r="N347" s="2" t="s">
        <v>21</v>
      </c>
      <c r="O347" s="4">
        <v>0.66719610729744327</v>
      </c>
      <c r="P347" s="2" t="str">
        <f t="shared" si="5"/>
        <v>Low</v>
      </c>
    </row>
    <row r="348" spans="1:16" ht="20.100000000000001" customHeight="1" x14ac:dyDescent="0.3">
      <c r="A348" s="2" t="s">
        <v>219</v>
      </c>
      <c r="B348" s="2" t="s">
        <v>770</v>
      </c>
      <c r="C348" s="3">
        <v>62</v>
      </c>
      <c r="D348" s="2" t="s">
        <v>757</v>
      </c>
      <c r="E348" s="4">
        <v>64.942857070000002</v>
      </c>
      <c r="F348" s="4">
        <v>3.6367947009999999</v>
      </c>
      <c r="G348" s="4">
        <v>49.319128849999998</v>
      </c>
      <c r="H348" s="2" t="s">
        <v>28</v>
      </c>
      <c r="I348" s="4">
        <v>49.301060489999998</v>
      </c>
      <c r="J348" s="4">
        <v>73.243518530000003</v>
      </c>
      <c r="K348" s="5">
        <v>12.254928639999999</v>
      </c>
      <c r="L348" s="3">
        <v>4</v>
      </c>
      <c r="M348" s="2" t="s">
        <v>762</v>
      </c>
      <c r="N348" s="2" t="s">
        <v>21</v>
      </c>
      <c r="O348" s="4">
        <v>9.6403281084563961</v>
      </c>
      <c r="P348" s="2" t="str">
        <f t="shared" si="5"/>
        <v>Acceptable</v>
      </c>
    </row>
    <row r="349" spans="1:16" ht="20.100000000000001" customHeight="1" x14ac:dyDescent="0.3">
      <c r="A349" s="2" t="s">
        <v>220</v>
      </c>
      <c r="B349" s="2" t="s">
        <v>770</v>
      </c>
      <c r="C349" s="3">
        <v>100</v>
      </c>
      <c r="D349" s="2" t="s">
        <v>757</v>
      </c>
      <c r="E349" s="4">
        <v>46.55965372</v>
      </c>
      <c r="F349" s="4">
        <v>1.665756536</v>
      </c>
      <c r="G349" s="4">
        <v>35.776000250000003</v>
      </c>
      <c r="H349" s="2" t="s">
        <v>14</v>
      </c>
      <c r="I349" s="4">
        <v>77.275881580000004</v>
      </c>
      <c r="J349" s="4">
        <v>95.747231439999993</v>
      </c>
      <c r="K349" s="5">
        <v>1.6535023010000001</v>
      </c>
      <c r="L349" s="3">
        <v>1.502868788</v>
      </c>
      <c r="M349" s="2" t="s">
        <v>764</v>
      </c>
      <c r="N349" s="2" t="s">
        <v>15</v>
      </c>
      <c r="O349" s="4">
        <v>8.6001965322257004</v>
      </c>
      <c r="P349" s="2" t="str">
        <f t="shared" si="5"/>
        <v>Acceptable</v>
      </c>
    </row>
    <row r="350" spans="1:16" ht="20.100000000000001" customHeight="1" x14ac:dyDescent="0.3">
      <c r="A350" s="2" t="s">
        <v>221</v>
      </c>
      <c r="B350" s="2" t="s">
        <v>22</v>
      </c>
      <c r="C350" s="3">
        <v>50</v>
      </c>
      <c r="D350" s="2" t="s">
        <v>758</v>
      </c>
      <c r="E350" s="4">
        <v>54.884013359999997</v>
      </c>
      <c r="F350" s="4">
        <v>1.886770506</v>
      </c>
      <c r="G350" s="4">
        <v>6.9851368049999998</v>
      </c>
      <c r="H350" s="2" t="s">
        <v>28</v>
      </c>
      <c r="I350" s="4">
        <v>64.280418150000003</v>
      </c>
      <c r="J350" s="4">
        <v>82.383896250000006</v>
      </c>
      <c r="K350" s="5">
        <v>30.593877930000001</v>
      </c>
      <c r="L350" s="3">
        <v>2.8179017169999998</v>
      </c>
      <c r="M350" s="2" t="s">
        <v>762</v>
      </c>
      <c r="N350" s="2" t="s">
        <v>15</v>
      </c>
      <c r="O350" s="4">
        <v>4.9679576695143375</v>
      </c>
      <c r="P350" s="2" t="str">
        <f t="shared" si="5"/>
        <v>Acceptable</v>
      </c>
    </row>
    <row r="351" spans="1:16" ht="20.100000000000001" customHeight="1" x14ac:dyDescent="0.3">
      <c r="A351" s="2" t="s">
        <v>222</v>
      </c>
      <c r="B351" s="2" t="s">
        <v>22</v>
      </c>
      <c r="C351" s="3">
        <v>50</v>
      </c>
      <c r="D351" s="2" t="s">
        <v>757</v>
      </c>
      <c r="E351" s="4">
        <v>13.72613374</v>
      </c>
      <c r="F351" s="4">
        <v>6.1764165599999998</v>
      </c>
      <c r="G351" s="4">
        <v>12.48400855</v>
      </c>
      <c r="H351" s="2" t="s">
        <v>14</v>
      </c>
      <c r="I351" s="4">
        <v>82.912582650000004</v>
      </c>
      <c r="J351" s="4">
        <v>90.831076210000006</v>
      </c>
      <c r="K351" s="5">
        <v>6.7863533909999996</v>
      </c>
      <c r="L351" s="3">
        <v>2</v>
      </c>
      <c r="M351" s="2" t="s">
        <v>762</v>
      </c>
      <c r="N351" s="2" t="s">
        <v>18</v>
      </c>
      <c r="O351" s="4">
        <v>0.54345150811944376</v>
      </c>
      <c r="P351" s="2" t="str">
        <f t="shared" si="5"/>
        <v>Low</v>
      </c>
    </row>
    <row r="352" spans="1:16" ht="20.100000000000001" customHeight="1" x14ac:dyDescent="0.3">
      <c r="A352" s="2" t="s">
        <v>223</v>
      </c>
      <c r="B352" s="2" t="s">
        <v>22</v>
      </c>
      <c r="C352" s="3">
        <v>50</v>
      </c>
      <c r="D352" s="2" t="s">
        <v>757</v>
      </c>
      <c r="E352" s="4">
        <v>20.581387679999999</v>
      </c>
      <c r="F352" s="4">
        <v>1.536944426</v>
      </c>
      <c r="G352" s="4">
        <v>37.026625750000001</v>
      </c>
      <c r="H352" s="2" t="s">
        <v>14</v>
      </c>
      <c r="I352" s="4">
        <v>22.54250841</v>
      </c>
      <c r="J352" s="4">
        <v>84.672362039999996</v>
      </c>
      <c r="K352" s="5">
        <v>6.7417676440000003</v>
      </c>
      <c r="L352" s="3">
        <v>2</v>
      </c>
      <c r="M352" s="2" t="s">
        <v>764</v>
      </c>
      <c r="N352" s="2" t="s">
        <v>18</v>
      </c>
      <c r="O352" s="4">
        <v>6.3935930203034266</v>
      </c>
      <c r="P352" s="2" t="str">
        <f t="shared" si="5"/>
        <v>Acceptable</v>
      </c>
    </row>
    <row r="353" spans="1:16" ht="20.100000000000001" customHeight="1" x14ac:dyDescent="0.3">
      <c r="A353" s="2" t="s">
        <v>224</v>
      </c>
      <c r="B353" s="2" t="s">
        <v>770</v>
      </c>
      <c r="C353" s="3">
        <v>75</v>
      </c>
      <c r="D353" s="2" t="s">
        <v>758</v>
      </c>
      <c r="E353" s="4">
        <v>36.047577390000001</v>
      </c>
      <c r="F353" s="4">
        <v>1.64577996</v>
      </c>
      <c r="G353" s="4">
        <v>49.85189639</v>
      </c>
      <c r="H353" s="2" t="s">
        <v>14</v>
      </c>
      <c r="I353" s="4">
        <v>46.328425860000003</v>
      </c>
      <c r="J353" s="4">
        <v>52.151709169999997</v>
      </c>
      <c r="K353" s="5">
        <v>6.8768972819999998</v>
      </c>
      <c r="L353" s="3">
        <v>4</v>
      </c>
      <c r="M353" s="2" t="s">
        <v>763</v>
      </c>
      <c r="N353" s="2" t="s">
        <v>18</v>
      </c>
      <c r="O353" s="4">
        <v>1.5743644183584009</v>
      </c>
      <c r="P353" s="2" t="str">
        <f t="shared" si="5"/>
        <v>Low</v>
      </c>
    </row>
    <row r="354" spans="1:16" ht="20.100000000000001" customHeight="1" x14ac:dyDescent="0.3">
      <c r="A354" s="2" t="s">
        <v>225</v>
      </c>
      <c r="B354" s="2" t="s">
        <v>769</v>
      </c>
      <c r="C354" s="3">
        <v>85</v>
      </c>
      <c r="D354" s="2" t="s">
        <v>758</v>
      </c>
      <c r="E354" s="4">
        <v>64.538246970000003</v>
      </c>
      <c r="F354" s="4">
        <v>3.9709998010000001</v>
      </c>
      <c r="G354" s="4">
        <v>17.560160069999998</v>
      </c>
      <c r="H354" s="2" t="s">
        <v>14</v>
      </c>
      <c r="I354" s="4">
        <v>17.189637659999999</v>
      </c>
      <c r="J354" s="4">
        <v>57.13538346</v>
      </c>
      <c r="K354" s="5">
        <v>12.32638948</v>
      </c>
      <c r="L354" s="3">
        <v>7</v>
      </c>
      <c r="M354" s="2" t="s">
        <v>763</v>
      </c>
      <c r="N354" s="2" t="s">
        <v>15</v>
      </c>
      <c r="O354" s="4">
        <v>21.913241466650543</v>
      </c>
      <c r="P354" s="2" t="str">
        <f t="shared" si="5"/>
        <v>Outstanding</v>
      </c>
    </row>
    <row r="355" spans="1:16" ht="20.100000000000001" customHeight="1" x14ac:dyDescent="0.3">
      <c r="A355" s="2" t="s">
        <v>226</v>
      </c>
      <c r="B355" s="2" t="s">
        <v>769</v>
      </c>
      <c r="C355" s="3">
        <v>75</v>
      </c>
      <c r="D355" s="2" t="s">
        <v>759</v>
      </c>
      <c r="E355" s="4">
        <v>34.375669739999999</v>
      </c>
      <c r="F355" s="4">
        <v>3.1457457070000001</v>
      </c>
      <c r="G355" s="4">
        <v>3.806546848</v>
      </c>
      <c r="H355" s="2" t="s">
        <v>24</v>
      </c>
      <c r="I355" s="4">
        <v>41.111826450000002</v>
      </c>
      <c r="J355" s="4">
        <v>63.026159870000001</v>
      </c>
      <c r="K355" s="5">
        <v>18.000127030000002</v>
      </c>
      <c r="L355" s="3">
        <v>6</v>
      </c>
      <c r="M355" s="2" t="s">
        <v>764</v>
      </c>
      <c r="N355" s="2" t="s">
        <v>21</v>
      </c>
      <c r="O355" s="4">
        <v>5.6498991616362355</v>
      </c>
      <c r="P355" s="2" t="str">
        <f t="shared" si="5"/>
        <v>Acceptable</v>
      </c>
    </row>
    <row r="356" spans="1:16" ht="20.100000000000001" customHeight="1" x14ac:dyDescent="0.3">
      <c r="A356" s="2" t="s">
        <v>227</v>
      </c>
      <c r="B356" s="2" t="s">
        <v>769</v>
      </c>
      <c r="C356" s="3">
        <v>60.789280249999997</v>
      </c>
      <c r="D356" s="2" t="s">
        <v>760</v>
      </c>
      <c r="E356" s="4">
        <v>12.118093229999999</v>
      </c>
      <c r="F356" s="4">
        <v>2.8544938430000002</v>
      </c>
      <c r="G356" s="4">
        <v>7.9970383419999997</v>
      </c>
      <c r="H356" s="2" t="s">
        <v>14</v>
      </c>
      <c r="I356" s="4">
        <v>30.067188779999999</v>
      </c>
      <c r="J356" s="4">
        <v>90.207051120000003</v>
      </c>
      <c r="K356" s="5">
        <v>20.98749334</v>
      </c>
      <c r="L356" s="3">
        <v>2</v>
      </c>
      <c r="M356" s="2" t="s">
        <v>764</v>
      </c>
      <c r="N356" s="2" t="s">
        <v>18</v>
      </c>
      <c r="O356" s="4">
        <v>4.4302039543147664</v>
      </c>
      <c r="P356" s="2" t="str">
        <f t="shared" si="5"/>
        <v>Acceptable</v>
      </c>
    </row>
    <row r="357" spans="1:16" ht="20.100000000000001" customHeight="1" x14ac:dyDescent="0.3">
      <c r="A357" s="2" t="s">
        <v>228</v>
      </c>
      <c r="B357" s="2" t="s">
        <v>771</v>
      </c>
      <c r="C357" s="3">
        <v>50</v>
      </c>
      <c r="D357" s="2" t="s">
        <v>759</v>
      </c>
      <c r="E357" s="4">
        <v>26.402103950000001</v>
      </c>
      <c r="F357" s="4">
        <v>0.95802234100000006</v>
      </c>
      <c r="G357" s="4">
        <v>47.759053479999999</v>
      </c>
      <c r="H357" s="2" t="s">
        <v>24</v>
      </c>
      <c r="I357" s="4">
        <v>29.476011119999999</v>
      </c>
      <c r="J357" s="4">
        <v>87.343235559999997</v>
      </c>
      <c r="K357" s="5">
        <v>22.883741260000001</v>
      </c>
      <c r="L357" s="3">
        <v>7</v>
      </c>
      <c r="M357" s="2" t="s">
        <v>763</v>
      </c>
      <c r="N357" s="2" t="s">
        <v>15</v>
      </c>
      <c r="O357" s="4">
        <v>7.6390823748143033</v>
      </c>
      <c r="P357" s="2" t="str">
        <f t="shared" si="5"/>
        <v>Acceptable</v>
      </c>
    </row>
    <row r="358" spans="1:16" ht="20.100000000000001" customHeight="1" x14ac:dyDescent="0.3">
      <c r="A358" s="2" t="s">
        <v>20</v>
      </c>
      <c r="B358" s="2" t="s">
        <v>769</v>
      </c>
      <c r="C358" s="3">
        <v>50</v>
      </c>
      <c r="D358" s="2" t="s">
        <v>758</v>
      </c>
      <c r="E358" s="4">
        <v>79.457823989999994</v>
      </c>
      <c r="F358" s="4">
        <v>1.2664308049999999</v>
      </c>
      <c r="G358" s="4">
        <v>32.882869759999998</v>
      </c>
      <c r="H358" s="2" t="s">
        <v>14</v>
      </c>
      <c r="I358" s="4">
        <v>83.120002959999994</v>
      </c>
      <c r="J358" s="4">
        <v>99.624327629999996</v>
      </c>
      <c r="K358" s="5">
        <v>38.31631316</v>
      </c>
      <c r="L358" s="3">
        <v>1</v>
      </c>
      <c r="M358" s="2" t="s">
        <v>762</v>
      </c>
      <c r="N358" s="2" t="s">
        <v>21</v>
      </c>
      <c r="O358" s="4">
        <v>6.5569886235133739</v>
      </c>
      <c r="P358" s="2" t="str">
        <f t="shared" si="5"/>
        <v>Acceptable</v>
      </c>
    </row>
    <row r="359" spans="1:16" ht="20.100000000000001" customHeight="1" x14ac:dyDescent="0.3">
      <c r="A359" s="2" t="s">
        <v>229</v>
      </c>
      <c r="B359" s="2" t="s">
        <v>22</v>
      </c>
      <c r="C359" s="3">
        <v>75</v>
      </c>
      <c r="D359" s="2" t="s">
        <v>758</v>
      </c>
      <c r="E359" s="4">
        <v>69.449961479999999</v>
      </c>
      <c r="F359" s="4">
        <v>1.0662067470000001</v>
      </c>
      <c r="G359" s="4">
        <v>49.416732690000003</v>
      </c>
      <c r="H359" s="2" t="s">
        <v>17</v>
      </c>
      <c r="I359" s="4">
        <v>27.562481590000001</v>
      </c>
      <c r="J359" s="4">
        <v>63.292276690000001</v>
      </c>
      <c r="K359" s="5">
        <v>37.899071589999998</v>
      </c>
      <c r="L359" s="3">
        <v>7</v>
      </c>
      <c r="M359" s="2" t="s">
        <v>762</v>
      </c>
      <c r="N359" s="2" t="s">
        <v>18</v>
      </c>
      <c r="O359" s="4">
        <v>18.610746700374698</v>
      </c>
      <c r="P359" s="2" t="str">
        <f t="shared" si="5"/>
        <v>Superior</v>
      </c>
    </row>
    <row r="360" spans="1:16" ht="20.100000000000001" customHeight="1" x14ac:dyDescent="0.3">
      <c r="A360" s="2" t="s">
        <v>230</v>
      </c>
      <c r="B360" s="2" t="s">
        <v>771</v>
      </c>
      <c r="C360" s="3">
        <v>85</v>
      </c>
      <c r="D360" s="2" t="s">
        <v>761</v>
      </c>
      <c r="E360" s="4">
        <v>66.18914418</v>
      </c>
      <c r="F360" s="4">
        <v>2.501463099</v>
      </c>
      <c r="G360" s="4">
        <v>2.5352378619999998</v>
      </c>
      <c r="H360" s="2" t="s">
        <v>14</v>
      </c>
      <c r="I360" s="4">
        <v>88.31726132</v>
      </c>
      <c r="J360" s="4">
        <v>103.0634524</v>
      </c>
      <c r="K360" s="5">
        <v>21.85316589</v>
      </c>
      <c r="L360" s="3">
        <v>1</v>
      </c>
      <c r="M360" s="2" t="s">
        <v>764</v>
      </c>
      <c r="N360" s="2" t="s">
        <v>21</v>
      </c>
      <c r="O360" s="4">
        <v>8.2963210237495773</v>
      </c>
      <c r="P360" s="2" t="str">
        <f t="shared" si="5"/>
        <v>Acceptable</v>
      </c>
    </row>
    <row r="361" spans="1:16" ht="20.100000000000001" customHeight="1" x14ac:dyDescent="0.3">
      <c r="A361" s="2" t="s">
        <v>231</v>
      </c>
      <c r="B361" s="2" t="s">
        <v>769</v>
      </c>
      <c r="C361" s="3">
        <v>75</v>
      </c>
      <c r="D361" s="2" t="s">
        <v>759</v>
      </c>
      <c r="E361" s="4">
        <v>13.66384251</v>
      </c>
      <c r="F361" s="4">
        <v>0.79913380499999997</v>
      </c>
      <c r="G361" s="4">
        <v>14.330457020000001</v>
      </c>
      <c r="H361" s="2" t="s">
        <v>17</v>
      </c>
      <c r="I361" s="4">
        <v>62.24698008</v>
      </c>
      <c r="J361" s="4">
        <v>82.888930349999995</v>
      </c>
      <c r="K361" s="5">
        <v>36.088928879999997</v>
      </c>
      <c r="L361" s="3">
        <v>3</v>
      </c>
      <c r="M361" s="2" t="s">
        <v>762</v>
      </c>
      <c r="N361" s="2" t="s">
        <v>18</v>
      </c>
      <c r="O361" s="4">
        <v>2.1153626819139895</v>
      </c>
      <c r="P361" s="2" t="str">
        <f t="shared" si="5"/>
        <v>Low</v>
      </c>
    </row>
    <row r="362" spans="1:16" ht="20.100000000000001" customHeight="1" x14ac:dyDescent="0.3">
      <c r="A362" s="2" t="s">
        <v>232</v>
      </c>
      <c r="B362" s="2" t="s">
        <v>769</v>
      </c>
      <c r="C362" s="3">
        <v>62</v>
      </c>
      <c r="D362" s="2" t="s">
        <v>758</v>
      </c>
      <c r="E362" s="4">
        <v>79.462311909999997</v>
      </c>
      <c r="F362" s="4">
        <v>2.8953489860000001</v>
      </c>
      <c r="G362" s="4">
        <v>25.412520170000001</v>
      </c>
      <c r="H362" s="2" t="s">
        <v>14</v>
      </c>
      <c r="I362" s="4">
        <v>28.461230839999999</v>
      </c>
      <c r="J362" s="4">
        <v>49.096415380000003</v>
      </c>
      <c r="K362" s="5">
        <v>32.538820530000002</v>
      </c>
      <c r="L362" s="3">
        <v>3</v>
      </c>
      <c r="M362" s="2" t="s">
        <v>764</v>
      </c>
      <c r="N362" s="2" t="s">
        <v>21</v>
      </c>
      <c r="O362" s="4">
        <v>10.166260715474918</v>
      </c>
      <c r="P362" s="2" t="str">
        <f t="shared" si="5"/>
        <v>Superior</v>
      </c>
    </row>
    <row r="363" spans="1:16" ht="20.100000000000001" customHeight="1" x14ac:dyDescent="0.3">
      <c r="A363" s="2" t="s">
        <v>233</v>
      </c>
      <c r="B363" s="2" t="s">
        <v>768</v>
      </c>
      <c r="C363" s="3">
        <v>50</v>
      </c>
      <c r="D363" s="2" t="s">
        <v>760</v>
      </c>
      <c r="E363" s="4">
        <v>26.61520204</v>
      </c>
      <c r="F363" s="4">
        <v>1.317917504</v>
      </c>
      <c r="G363" s="4">
        <v>22.743966619999998</v>
      </c>
      <c r="H363" s="2" t="s">
        <v>24</v>
      </c>
      <c r="I363" s="4">
        <v>59.931052659999999</v>
      </c>
      <c r="J363" s="4">
        <v>69.521306429999996</v>
      </c>
      <c r="K363" s="5">
        <v>28.898031700000001</v>
      </c>
      <c r="L363" s="3">
        <v>5</v>
      </c>
      <c r="M363" s="2" t="s">
        <v>762</v>
      </c>
      <c r="N363" s="2" t="s">
        <v>21</v>
      </c>
      <c r="O363" s="4">
        <v>1.2762327085171079</v>
      </c>
      <c r="P363" s="2" t="str">
        <f t="shared" si="5"/>
        <v>Low</v>
      </c>
    </row>
    <row r="364" spans="1:16" ht="20.100000000000001" customHeight="1" x14ac:dyDescent="0.3">
      <c r="A364" s="2" t="s">
        <v>234</v>
      </c>
      <c r="B364" s="2" t="s">
        <v>768</v>
      </c>
      <c r="C364" s="3">
        <v>100</v>
      </c>
      <c r="D364" s="2" t="s">
        <v>760</v>
      </c>
      <c r="E364" s="4">
        <v>19.89879895</v>
      </c>
      <c r="F364" s="4">
        <v>1.849672091</v>
      </c>
      <c r="G364" s="4">
        <v>33.636050709999999</v>
      </c>
      <c r="H364" s="2" t="s">
        <v>17</v>
      </c>
      <c r="I364" s="4">
        <v>14.367222160000001</v>
      </c>
      <c r="J364" s="4">
        <v>93.022536779999996</v>
      </c>
      <c r="K364" s="5">
        <v>22.189261170000002</v>
      </c>
      <c r="L364" s="3">
        <v>7</v>
      </c>
      <c r="M364" s="2" t="s">
        <v>764</v>
      </c>
      <c r="N364" s="2" t="s">
        <v>21</v>
      </c>
      <c r="O364" s="4">
        <v>15.651462919723755</v>
      </c>
      <c r="P364" s="2" t="str">
        <f t="shared" si="5"/>
        <v>Superior</v>
      </c>
    </row>
    <row r="365" spans="1:16" ht="20.100000000000001" customHeight="1" x14ac:dyDescent="0.3">
      <c r="A365" s="2" t="s">
        <v>235</v>
      </c>
      <c r="B365" s="2" t="s">
        <v>22</v>
      </c>
      <c r="C365" s="3">
        <v>50</v>
      </c>
      <c r="D365" s="2" t="s">
        <v>758</v>
      </c>
      <c r="E365" s="4">
        <v>27.047103230000001</v>
      </c>
      <c r="F365" s="4">
        <v>1.1096377230000001</v>
      </c>
      <c r="G365" s="4">
        <v>4.5216315419999997</v>
      </c>
      <c r="H365" s="2" t="s">
        <v>24</v>
      </c>
      <c r="I365" s="4">
        <v>52.032965679999997</v>
      </c>
      <c r="J365" s="4">
        <v>105.61692189999999</v>
      </c>
      <c r="K365" s="5">
        <v>20.56538827</v>
      </c>
      <c r="L365" s="3">
        <v>3</v>
      </c>
      <c r="M365" s="2" t="s">
        <v>764</v>
      </c>
      <c r="N365" s="2" t="s">
        <v>15</v>
      </c>
      <c r="O365" s="4">
        <v>7.2464539767707024</v>
      </c>
      <c r="P365" s="2" t="str">
        <f t="shared" si="5"/>
        <v>Acceptable</v>
      </c>
    </row>
    <row r="366" spans="1:16" ht="20.100000000000001" customHeight="1" x14ac:dyDescent="0.3">
      <c r="A366" s="2" t="s">
        <v>236</v>
      </c>
      <c r="B366" s="2" t="s">
        <v>769</v>
      </c>
      <c r="C366" s="3">
        <v>50</v>
      </c>
      <c r="D366" s="2" t="s">
        <v>757</v>
      </c>
      <c r="E366" s="4">
        <v>30.184684239999999</v>
      </c>
      <c r="F366" s="4">
        <v>2.9714279750000001</v>
      </c>
      <c r="G366" s="4">
        <v>40.182460110000001</v>
      </c>
      <c r="H366" s="2" t="s">
        <v>24</v>
      </c>
      <c r="I366" s="4">
        <v>64.156635010000002</v>
      </c>
      <c r="J366" s="4">
        <v>65.400544890000006</v>
      </c>
      <c r="K366" s="5">
        <v>26.1756259</v>
      </c>
      <c r="L366" s="3">
        <v>0</v>
      </c>
      <c r="M366" s="2" t="s">
        <v>764</v>
      </c>
      <c r="N366" s="2" t="s">
        <v>18</v>
      </c>
      <c r="O366" s="4">
        <v>0.18773513475408204</v>
      </c>
      <c r="P366" s="2" t="str">
        <f t="shared" si="5"/>
        <v>Low</v>
      </c>
    </row>
    <row r="367" spans="1:16" ht="20.100000000000001" customHeight="1" x14ac:dyDescent="0.3">
      <c r="A367" s="2" t="s">
        <v>237</v>
      </c>
      <c r="B367" s="2" t="s">
        <v>768</v>
      </c>
      <c r="C367" s="3">
        <v>85</v>
      </c>
      <c r="D367" s="2" t="s">
        <v>761</v>
      </c>
      <c r="E367" s="4">
        <v>15.342120680000001</v>
      </c>
      <c r="F367" s="4">
        <v>3.3924522509999999</v>
      </c>
      <c r="G367" s="4">
        <v>43.496849959999999</v>
      </c>
      <c r="H367" s="2" t="s">
        <v>14</v>
      </c>
      <c r="I367" s="4">
        <v>41.892727370000003</v>
      </c>
      <c r="J367" s="4">
        <v>95.378297970000006</v>
      </c>
      <c r="K367" s="5">
        <v>36.035150059999999</v>
      </c>
      <c r="L367" s="3">
        <v>0</v>
      </c>
      <c r="M367" s="2" t="s">
        <v>762</v>
      </c>
      <c r="N367" s="2" t="s">
        <v>21</v>
      </c>
      <c r="O367" s="4">
        <v>6.9749476696628099</v>
      </c>
      <c r="P367" s="2" t="str">
        <f t="shared" si="5"/>
        <v>Acceptable</v>
      </c>
    </row>
    <row r="368" spans="1:16" ht="20.100000000000001" customHeight="1" x14ac:dyDescent="0.3">
      <c r="A368" s="2" t="s">
        <v>238</v>
      </c>
      <c r="B368" s="2" t="s">
        <v>769</v>
      </c>
      <c r="C368" s="3">
        <v>50</v>
      </c>
      <c r="D368" s="2" t="s">
        <v>759</v>
      </c>
      <c r="E368" s="4">
        <v>60.260382999999997</v>
      </c>
      <c r="F368" s="4">
        <v>3.030396836</v>
      </c>
      <c r="G368" s="4">
        <v>31.222973140000001</v>
      </c>
      <c r="H368" s="2" t="s">
        <v>14</v>
      </c>
      <c r="I368" s="4">
        <v>51.191267349999997</v>
      </c>
      <c r="J368" s="4">
        <v>66.230847089999997</v>
      </c>
      <c r="K368" s="5">
        <v>6.8728741180000004</v>
      </c>
      <c r="L368" s="3">
        <v>7</v>
      </c>
      <c r="M368" s="2" t="s">
        <v>763</v>
      </c>
      <c r="N368" s="2" t="s">
        <v>15</v>
      </c>
      <c r="O368" s="4">
        <v>4.5314541764572018</v>
      </c>
      <c r="P368" s="2" t="str">
        <f t="shared" si="5"/>
        <v>Acceptable</v>
      </c>
    </row>
    <row r="369" spans="1:16" ht="20.100000000000001" customHeight="1" x14ac:dyDescent="0.3">
      <c r="A369" s="2" t="s">
        <v>239</v>
      </c>
      <c r="B369" s="2" t="s">
        <v>22</v>
      </c>
      <c r="C369" s="3">
        <v>100</v>
      </c>
      <c r="D369" s="2" t="s">
        <v>758</v>
      </c>
      <c r="E369" s="4">
        <v>5.6501817379999997</v>
      </c>
      <c r="F369" s="4">
        <v>0.63995145099999995</v>
      </c>
      <c r="G369" s="4">
        <v>11.66743821</v>
      </c>
      <c r="H369" s="2" t="s">
        <v>17</v>
      </c>
      <c r="I369" s="4">
        <v>58.400457580000001</v>
      </c>
      <c r="J369" s="4">
        <v>65.017991089999995</v>
      </c>
      <c r="K369" s="5">
        <v>23.05944663</v>
      </c>
      <c r="L369" s="3">
        <v>6</v>
      </c>
      <c r="M369" s="2" t="s">
        <v>764</v>
      </c>
      <c r="N369" s="2" t="s">
        <v>18</v>
      </c>
      <c r="O369" s="4">
        <v>0.37390266988805004</v>
      </c>
      <c r="P369" s="2" t="str">
        <f t="shared" si="5"/>
        <v>Low</v>
      </c>
    </row>
    <row r="370" spans="1:16" ht="20.100000000000001" customHeight="1" x14ac:dyDescent="0.3">
      <c r="A370" s="2" t="s">
        <v>44</v>
      </c>
      <c r="B370" s="2" t="s">
        <v>770</v>
      </c>
      <c r="C370" s="3">
        <v>100</v>
      </c>
      <c r="D370" s="2" t="s">
        <v>758</v>
      </c>
      <c r="E370" s="4">
        <v>39.39874236</v>
      </c>
      <c r="F370" s="4">
        <v>2.3977153609999999</v>
      </c>
      <c r="G370" s="4">
        <v>20.460364869999999</v>
      </c>
      <c r="H370" s="2" t="s">
        <v>17</v>
      </c>
      <c r="I370" s="4">
        <v>28.25229826</v>
      </c>
      <c r="J370" s="4">
        <v>96.287092240000007</v>
      </c>
      <c r="K370" s="5">
        <v>19.781083890000001</v>
      </c>
      <c r="L370" s="3">
        <v>2.941663235</v>
      </c>
      <c r="M370" s="2" t="s">
        <v>763</v>
      </c>
      <c r="N370" s="2" t="s">
        <v>15</v>
      </c>
      <c r="O370" s="4">
        <v>26.804853195336992</v>
      </c>
      <c r="P370" s="2" t="str">
        <f t="shared" si="5"/>
        <v>Outstanding</v>
      </c>
    </row>
    <row r="371" spans="1:16" ht="20.100000000000001" customHeight="1" x14ac:dyDescent="0.3">
      <c r="A371" s="2" t="s">
        <v>240</v>
      </c>
      <c r="B371" s="2" t="s">
        <v>768</v>
      </c>
      <c r="C371" s="3">
        <v>85</v>
      </c>
      <c r="D371" s="2" t="s">
        <v>757</v>
      </c>
      <c r="E371" s="4">
        <v>41.578915119999998</v>
      </c>
      <c r="F371" s="4">
        <v>1.0769985929999999</v>
      </c>
      <c r="G371" s="4">
        <v>35.418106000000002</v>
      </c>
      <c r="H371" s="2" t="s">
        <v>28</v>
      </c>
      <c r="I371" s="4">
        <v>45.885527830000001</v>
      </c>
      <c r="J371" s="4">
        <v>90.42239601</v>
      </c>
      <c r="K371" s="5">
        <v>21.276982360000002</v>
      </c>
      <c r="L371" s="3">
        <v>0</v>
      </c>
      <c r="M371" s="2" t="s">
        <v>764</v>
      </c>
      <c r="N371" s="2" t="s">
        <v>18</v>
      </c>
      <c r="O371" s="4">
        <v>15.740254625018215</v>
      </c>
      <c r="P371" s="2" t="str">
        <f t="shared" si="5"/>
        <v>Superior</v>
      </c>
    </row>
    <row r="372" spans="1:16" ht="20.100000000000001" customHeight="1" x14ac:dyDescent="0.3">
      <c r="A372" s="2" t="s">
        <v>241</v>
      </c>
      <c r="B372" s="2" t="s">
        <v>768</v>
      </c>
      <c r="C372" s="3">
        <v>85</v>
      </c>
      <c r="D372" s="2" t="s">
        <v>759</v>
      </c>
      <c r="E372" s="4">
        <v>29.697898460000001</v>
      </c>
      <c r="F372" s="4">
        <v>3.9196356379999999</v>
      </c>
      <c r="G372" s="4">
        <v>32.303102260000003</v>
      </c>
      <c r="H372" s="2" t="s">
        <v>24</v>
      </c>
      <c r="I372" s="4">
        <v>42.992300540000002</v>
      </c>
      <c r="J372" s="4">
        <v>50.440450370000001</v>
      </c>
      <c r="K372" s="5">
        <v>8.1991069949999993</v>
      </c>
      <c r="L372" s="3">
        <v>4</v>
      </c>
      <c r="M372" s="2" t="s">
        <v>763</v>
      </c>
      <c r="N372" s="2" t="s">
        <v>21</v>
      </c>
      <c r="O372" s="4">
        <v>1.8801523776127531</v>
      </c>
      <c r="P372" s="2" t="str">
        <f t="shared" si="5"/>
        <v>Low</v>
      </c>
    </row>
    <row r="373" spans="1:16" ht="20.100000000000001" customHeight="1" x14ac:dyDescent="0.3">
      <c r="A373" s="2" t="s">
        <v>242</v>
      </c>
      <c r="B373" s="2" t="s">
        <v>22</v>
      </c>
      <c r="C373" s="3">
        <v>69.445045609999994</v>
      </c>
      <c r="D373" s="2" t="s">
        <v>758</v>
      </c>
      <c r="E373" s="4">
        <v>72.715748529999999</v>
      </c>
      <c r="F373" s="4">
        <v>0.68213243199999996</v>
      </c>
      <c r="G373" s="4">
        <v>32.253432119999999</v>
      </c>
      <c r="H373" s="2" t="s">
        <v>24</v>
      </c>
      <c r="I373" s="4">
        <v>28.898519619999998</v>
      </c>
      <c r="J373" s="4">
        <v>57.735344089999998</v>
      </c>
      <c r="K373" s="5">
        <v>4.4857959589999998</v>
      </c>
      <c r="L373" s="3">
        <v>2</v>
      </c>
      <c r="M373" s="2" t="s">
        <v>764</v>
      </c>
      <c r="N373" s="2" t="s">
        <v>15</v>
      </c>
      <c r="O373" s="4">
        <v>14.561871034021687</v>
      </c>
      <c r="P373" s="2" t="str">
        <f t="shared" si="5"/>
        <v>Superior</v>
      </c>
    </row>
    <row r="374" spans="1:16" ht="20.100000000000001" customHeight="1" x14ac:dyDescent="0.3">
      <c r="A374" s="2" t="s">
        <v>243</v>
      </c>
      <c r="B374" s="2" t="s">
        <v>22</v>
      </c>
      <c r="C374" s="3">
        <v>100</v>
      </c>
      <c r="D374" s="2" t="s">
        <v>759</v>
      </c>
      <c r="E374" s="4">
        <v>78.955061020000002</v>
      </c>
      <c r="F374" s="4">
        <v>3.7965626760000002</v>
      </c>
      <c r="G374" s="4">
        <v>41.307566639999997</v>
      </c>
      <c r="H374" s="2" t="s">
        <v>28</v>
      </c>
      <c r="I374" s="4">
        <v>50.089449389999999</v>
      </c>
      <c r="J374" s="4">
        <v>74.789621159999996</v>
      </c>
      <c r="K374" s="5">
        <v>37.207219240000001</v>
      </c>
      <c r="L374" s="3">
        <v>6</v>
      </c>
      <c r="M374" s="2" t="s">
        <v>763</v>
      </c>
      <c r="N374" s="2" t="s">
        <v>15</v>
      </c>
      <c r="O374" s="4">
        <v>19.502035693048313</v>
      </c>
      <c r="P374" s="2" t="str">
        <f t="shared" si="5"/>
        <v>Superior</v>
      </c>
    </row>
    <row r="375" spans="1:16" ht="20.100000000000001" customHeight="1" x14ac:dyDescent="0.3">
      <c r="A375" s="2" t="s">
        <v>244</v>
      </c>
      <c r="B375" s="2" t="s">
        <v>769</v>
      </c>
      <c r="C375" s="3">
        <v>85</v>
      </c>
      <c r="D375" s="2" t="s">
        <v>759</v>
      </c>
      <c r="E375" s="4">
        <v>37.287018760000002</v>
      </c>
      <c r="F375" s="4">
        <v>1.904718015</v>
      </c>
      <c r="G375" s="4">
        <v>29.148826230000001</v>
      </c>
      <c r="H375" s="2" t="s">
        <v>17</v>
      </c>
      <c r="I375" s="4">
        <v>29.08564192</v>
      </c>
      <c r="J375" s="4">
        <v>78.129844309999996</v>
      </c>
      <c r="K375" s="5">
        <v>6.2333139539999998</v>
      </c>
      <c r="L375" s="3">
        <v>2</v>
      </c>
      <c r="M375" s="2" t="s">
        <v>763</v>
      </c>
      <c r="N375" s="2" t="s">
        <v>21</v>
      </c>
      <c r="O375" s="4">
        <v>15.544052803973919</v>
      </c>
      <c r="P375" s="2" t="str">
        <f t="shared" si="5"/>
        <v>Superior</v>
      </c>
    </row>
    <row r="376" spans="1:16" ht="20.100000000000001" customHeight="1" x14ac:dyDescent="0.3">
      <c r="A376" s="2" t="s">
        <v>45</v>
      </c>
      <c r="B376" s="2" t="s">
        <v>768</v>
      </c>
      <c r="C376" s="3">
        <v>85</v>
      </c>
      <c r="D376" s="2" t="s">
        <v>758</v>
      </c>
      <c r="E376" s="4">
        <v>12.049319710000001</v>
      </c>
      <c r="F376" s="4">
        <v>1.373881358</v>
      </c>
      <c r="G376" s="4">
        <v>29.468944359999998</v>
      </c>
      <c r="H376" s="2" t="s">
        <v>28</v>
      </c>
      <c r="I376" s="4">
        <v>36.636852159999997</v>
      </c>
      <c r="J376" s="4">
        <v>66.976104320000005</v>
      </c>
      <c r="K376" s="5">
        <v>39.416130920000001</v>
      </c>
      <c r="L376" s="3">
        <v>4</v>
      </c>
      <c r="M376" s="2" t="s">
        <v>762</v>
      </c>
      <c r="N376" s="2" t="s">
        <v>15</v>
      </c>
      <c r="O376" s="4">
        <v>3.1073224668242596</v>
      </c>
      <c r="P376" s="2" t="str">
        <f t="shared" si="5"/>
        <v>Acceptable</v>
      </c>
    </row>
    <row r="377" spans="1:16" ht="20.100000000000001" customHeight="1" x14ac:dyDescent="0.3">
      <c r="A377" s="2" t="s">
        <v>245</v>
      </c>
      <c r="B377" s="2" t="s">
        <v>768</v>
      </c>
      <c r="C377" s="3">
        <v>62</v>
      </c>
      <c r="D377" s="2" t="s">
        <v>760</v>
      </c>
      <c r="E377" s="4">
        <v>65.751333349999996</v>
      </c>
      <c r="F377" s="4">
        <v>0.87624522999999999</v>
      </c>
      <c r="G377" s="4">
        <v>42.514132549999999</v>
      </c>
      <c r="H377" s="2" t="s">
        <v>14</v>
      </c>
      <c r="I377" s="4">
        <v>18.320679120000001</v>
      </c>
      <c r="J377" s="4">
        <v>81.153569770000004</v>
      </c>
      <c r="K377" s="5">
        <v>18.959555819999999</v>
      </c>
      <c r="L377" s="3">
        <v>1</v>
      </c>
      <c r="M377" s="2" t="s">
        <v>763</v>
      </c>
      <c r="N377" s="2" t="s">
        <v>15</v>
      </c>
      <c r="O377" s="4">
        <v>25.614347298527942</v>
      </c>
      <c r="P377" s="2" t="str">
        <f t="shared" si="5"/>
        <v>Outstanding</v>
      </c>
    </row>
    <row r="378" spans="1:16" ht="20.100000000000001" customHeight="1" x14ac:dyDescent="0.3">
      <c r="A378" s="2" t="s">
        <v>246</v>
      </c>
      <c r="B378" s="2" t="s">
        <v>770</v>
      </c>
      <c r="C378" s="3">
        <v>62</v>
      </c>
      <c r="D378" s="2" t="s">
        <v>758</v>
      </c>
      <c r="E378" s="4">
        <v>33.39817876</v>
      </c>
      <c r="F378" s="4">
        <v>2.455006976</v>
      </c>
      <c r="G378" s="4">
        <v>14.42092922</v>
      </c>
      <c r="H378" s="2" t="s">
        <v>17</v>
      </c>
      <c r="I378" s="4">
        <v>23.34413923</v>
      </c>
      <c r="J378" s="4">
        <v>68.139301149999994</v>
      </c>
      <c r="K378" s="5">
        <v>27.28334186</v>
      </c>
      <c r="L378" s="3">
        <v>2</v>
      </c>
      <c r="M378" s="2" t="s">
        <v>764</v>
      </c>
      <c r="N378" s="2" t="s">
        <v>21</v>
      </c>
      <c r="O378" s="4">
        <v>9.2756763174012899</v>
      </c>
      <c r="P378" s="2" t="str">
        <f t="shared" si="5"/>
        <v>Acceptable</v>
      </c>
    </row>
    <row r="379" spans="1:16" ht="20.100000000000001" customHeight="1" x14ac:dyDescent="0.3">
      <c r="A379" s="2" t="s">
        <v>247</v>
      </c>
      <c r="B379" s="2" t="s">
        <v>768</v>
      </c>
      <c r="C379" s="3">
        <v>62</v>
      </c>
      <c r="D379" s="2" t="s">
        <v>761</v>
      </c>
      <c r="E379" s="4">
        <v>46.511770259999999</v>
      </c>
      <c r="F379" s="4">
        <v>2.809346621</v>
      </c>
      <c r="G379" s="4">
        <v>10.481223829999999</v>
      </c>
      <c r="H379" s="2" t="s">
        <v>14</v>
      </c>
      <c r="I379" s="4">
        <v>70.981361800000002</v>
      </c>
      <c r="J379" s="4">
        <v>94.377765049999994</v>
      </c>
      <c r="K379" s="5">
        <v>38.452027219999998</v>
      </c>
      <c r="L379" s="3">
        <v>5</v>
      </c>
      <c r="M379" s="2" t="s">
        <v>763</v>
      </c>
      <c r="N379" s="2" t="s">
        <v>18</v>
      </c>
      <c r="O379" s="4">
        <v>6.7468904238207639</v>
      </c>
      <c r="P379" s="2" t="str">
        <f t="shared" si="5"/>
        <v>Acceptable</v>
      </c>
    </row>
    <row r="380" spans="1:16" ht="20.100000000000001" customHeight="1" x14ac:dyDescent="0.3">
      <c r="A380" s="2" t="s">
        <v>248</v>
      </c>
      <c r="B380" s="2" t="s">
        <v>771</v>
      </c>
      <c r="C380" s="3">
        <v>50</v>
      </c>
      <c r="D380" s="2" t="s">
        <v>758</v>
      </c>
      <c r="E380" s="4">
        <v>74.540484860000007</v>
      </c>
      <c r="F380" s="4">
        <v>3.591079873</v>
      </c>
      <c r="G380" s="4">
        <v>16.935868939999999</v>
      </c>
      <c r="H380" s="2" t="s">
        <v>14</v>
      </c>
      <c r="I380" s="4">
        <v>51.814911289999998</v>
      </c>
      <c r="J380" s="4">
        <v>76.07639193</v>
      </c>
      <c r="K380" s="5">
        <v>10.74680105</v>
      </c>
      <c r="L380" s="3">
        <v>2</v>
      </c>
      <c r="M380" s="2" t="s">
        <v>763</v>
      </c>
      <c r="N380" s="2" t="s">
        <v>18</v>
      </c>
      <c r="O380" s="4">
        <v>9.0423126516355179</v>
      </c>
      <c r="P380" s="2" t="str">
        <f t="shared" si="5"/>
        <v>Acceptable</v>
      </c>
    </row>
    <row r="381" spans="1:16" ht="20.100000000000001" customHeight="1" x14ac:dyDescent="0.3">
      <c r="A381" s="2" t="s">
        <v>249</v>
      </c>
      <c r="B381" s="2" t="s">
        <v>768</v>
      </c>
      <c r="C381" s="3">
        <v>100</v>
      </c>
      <c r="D381" s="2" t="s">
        <v>761</v>
      </c>
      <c r="E381" s="4">
        <v>53.838272060000001</v>
      </c>
      <c r="F381" s="4">
        <v>0.94819298500000004</v>
      </c>
      <c r="G381" s="4">
        <v>25.605977790000001</v>
      </c>
      <c r="H381" s="2" t="s">
        <v>17</v>
      </c>
      <c r="I381" s="4">
        <v>65.220428749999996</v>
      </c>
      <c r="J381" s="4">
        <v>88.658948910000007</v>
      </c>
      <c r="K381" s="5">
        <v>4.7199333509999999</v>
      </c>
      <c r="L381" s="3">
        <v>5</v>
      </c>
      <c r="M381" s="2" t="s">
        <v>763</v>
      </c>
      <c r="N381" s="2" t="s">
        <v>15</v>
      </c>
      <c r="O381" s="4">
        <v>12.618894250578753</v>
      </c>
      <c r="P381" s="2" t="str">
        <f t="shared" si="5"/>
        <v>Superior</v>
      </c>
    </row>
    <row r="382" spans="1:16" ht="20.100000000000001" customHeight="1" x14ac:dyDescent="0.3">
      <c r="A382" s="2" t="s">
        <v>250</v>
      </c>
      <c r="B382" s="2" t="s">
        <v>771</v>
      </c>
      <c r="C382" s="3">
        <v>100</v>
      </c>
      <c r="D382" s="2" t="s">
        <v>758</v>
      </c>
      <c r="E382" s="4">
        <v>76.499319869999994</v>
      </c>
      <c r="F382" s="4">
        <v>3.0077145220000001</v>
      </c>
      <c r="G382" s="4">
        <v>37.445510980000002</v>
      </c>
      <c r="H382" s="2" t="s">
        <v>14</v>
      </c>
      <c r="I382" s="4">
        <v>24.87475156</v>
      </c>
      <c r="J382" s="4">
        <v>58.710101680000001</v>
      </c>
      <c r="K382" s="5">
        <v>45.753347669999997</v>
      </c>
      <c r="L382" s="3">
        <v>2</v>
      </c>
      <c r="M382" s="2" t="s">
        <v>763</v>
      </c>
      <c r="N382" s="2" t="s">
        <v>15</v>
      </c>
      <c r="O382" s="4">
        <v>25.88381271743323</v>
      </c>
      <c r="P382" s="2" t="str">
        <f t="shared" si="5"/>
        <v>Outstanding</v>
      </c>
    </row>
    <row r="383" spans="1:16" ht="20.100000000000001" customHeight="1" x14ac:dyDescent="0.3">
      <c r="A383" s="2" t="s">
        <v>251</v>
      </c>
      <c r="B383" s="2" t="s">
        <v>768</v>
      </c>
      <c r="C383" s="3">
        <v>62</v>
      </c>
      <c r="D383" s="2" t="s">
        <v>761</v>
      </c>
      <c r="E383" s="4">
        <v>5.6148740850000003</v>
      </c>
      <c r="F383" s="4">
        <v>2.459601546</v>
      </c>
      <c r="G383" s="4">
        <v>18.561165290000002</v>
      </c>
      <c r="H383" s="2" t="s">
        <v>24</v>
      </c>
      <c r="I383" s="4">
        <v>42.526832800000001</v>
      </c>
      <c r="J383" s="4">
        <v>64.397468480000001</v>
      </c>
      <c r="K383" s="5">
        <v>5.2640356519999996</v>
      </c>
      <c r="L383" s="3">
        <v>7</v>
      </c>
      <c r="M383" s="2" t="s">
        <v>764</v>
      </c>
      <c r="N383" s="2" t="s">
        <v>21</v>
      </c>
      <c r="O383" s="4">
        <v>0.76136536611307182</v>
      </c>
      <c r="P383" s="2" t="str">
        <f t="shared" si="5"/>
        <v>Low</v>
      </c>
    </row>
    <row r="384" spans="1:16" ht="20.100000000000001" customHeight="1" x14ac:dyDescent="0.3">
      <c r="A384" s="2" t="s">
        <v>46</v>
      </c>
      <c r="B384" s="2" t="s">
        <v>22</v>
      </c>
      <c r="C384" s="3">
        <v>48.796482640000001</v>
      </c>
      <c r="D384" s="2" t="s">
        <v>761</v>
      </c>
      <c r="E384" s="4">
        <v>77.053606380000005</v>
      </c>
      <c r="F384" s="4">
        <v>3.0302026849999999</v>
      </c>
      <c r="G384" s="4">
        <v>8.3880395379999992</v>
      </c>
      <c r="H384" s="2" t="s">
        <v>24</v>
      </c>
      <c r="I384" s="4">
        <v>15.144122469999999</v>
      </c>
      <c r="J384" s="4">
        <v>84.342326869999994</v>
      </c>
      <c r="K384" s="5">
        <v>22.069470800000001</v>
      </c>
      <c r="L384" s="3">
        <v>1</v>
      </c>
      <c r="M384" s="2" t="s">
        <v>764</v>
      </c>
      <c r="N384" s="2" t="s">
        <v>18</v>
      </c>
      <c r="O384" s="4">
        <v>26.018144029493651</v>
      </c>
      <c r="P384" s="2" t="str">
        <f t="shared" si="5"/>
        <v>Outstanding</v>
      </c>
    </row>
    <row r="385" spans="1:16" ht="20.100000000000001" customHeight="1" x14ac:dyDescent="0.3">
      <c r="A385" s="2" t="s">
        <v>252</v>
      </c>
      <c r="B385" s="2" t="s">
        <v>771</v>
      </c>
      <c r="C385" s="3">
        <v>100</v>
      </c>
      <c r="D385" s="2" t="s">
        <v>757</v>
      </c>
      <c r="E385" s="4">
        <v>49.545546569999999</v>
      </c>
      <c r="F385" s="4">
        <v>0.67493950300000005</v>
      </c>
      <c r="G385" s="4">
        <v>27.00766346</v>
      </c>
      <c r="H385" s="2" t="s">
        <v>14</v>
      </c>
      <c r="I385" s="4">
        <v>48.444748339999997</v>
      </c>
      <c r="J385" s="4">
        <v>92.496965540000005</v>
      </c>
      <c r="K385" s="5">
        <v>36.810824910000001</v>
      </c>
      <c r="L385" s="3">
        <v>7</v>
      </c>
      <c r="M385" s="2" t="s">
        <v>764</v>
      </c>
      <c r="N385" s="2" t="s">
        <v>21</v>
      </c>
      <c r="O385" s="4">
        <v>21.825911787943554</v>
      </c>
      <c r="P385" s="2" t="str">
        <f t="shared" si="5"/>
        <v>Outstanding</v>
      </c>
    </row>
    <row r="386" spans="1:16" ht="20.100000000000001" customHeight="1" x14ac:dyDescent="0.3">
      <c r="A386" s="2" t="s">
        <v>253</v>
      </c>
      <c r="B386" s="2" t="s">
        <v>770</v>
      </c>
      <c r="C386" s="3">
        <v>107.4319545</v>
      </c>
      <c r="D386" s="2" t="s">
        <v>759</v>
      </c>
      <c r="E386" s="4">
        <v>5.7464448089999998</v>
      </c>
      <c r="F386" s="4">
        <v>0.58102955999999994</v>
      </c>
      <c r="G386" s="4">
        <v>7.0076377369999996</v>
      </c>
      <c r="H386" s="2" t="s">
        <v>14</v>
      </c>
      <c r="I386" s="4">
        <v>60.711311190000004</v>
      </c>
      <c r="J386" s="4">
        <v>67.303864480000001</v>
      </c>
      <c r="K386" s="5">
        <v>16.97617108</v>
      </c>
      <c r="L386" s="3">
        <v>3</v>
      </c>
      <c r="M386" s="2" t="s">
        <v>763</v>
      </c>
      <c r="N386" s="2" t="s">
        <v>15</v>
      </c>
      <c r="O386" s="4">
        <v>0.40699246220956892</v>
      </c>
      <c r="P386" s="2" t="str">
        <f t="shared" si="5"/>
        <v>Low</v>
      </c>
    </row>
    <row r="387" spans="1:16" ht="20.100000000000001" customHeight="1" x14ac:dyDescent="0.3">
      <c r="A387" s="2" t="s">
        <v>254</v>
      </c>
      <c r="B387" s="2" t="s">
        <v>22</v>
      </c>
      <c r="C387" s="3">
        <v>62</v>
      </c>
      <c r="D387" s="2" t="s">
        <v>759</v>
      </c>
      <c r="E387" s="4">
        <v>9.7370396120000002</v>
      </c>
      <c r="F387" s="4">
        <v>3.0703071749999999</v>
      </c>
      <c r="G387" s="4">
        <v>3.645282259</v>
      </c>
      <c r="H387" s="2" t="s">
        <v>17</v>
      </c>
      <c r="I387" s="4">
        <v>75.78098421</v>
      </c>
      <c r="J387" s="4">
        <v>97.163359439999994</v>
      </c>
      <c r="K387" s="5">
        <v>13.520221299999999</v>
      </c>
      <c r="L387" s="3">
        <v>4</v>
      </c>
      <c r="M387" s="2" t="s">
        <v>762</v>
      </c>
      <c r="N387" s="2" t="s">
        <v>18</v>
      </c>
      <c r="O387" s="4">
        <v>1.2908464146015768</v>
      </c>
      <c r="P387" s="2" t="str">
        <f t="shared" ref="P387:P450" si="6">IF(O387 &lt; 3, "Low", IF(O387 &lt; 10, "Acceptable", IF(O387 &lt; 20, "Superior", "Outstanding")))</f>
        <v>Low</v>
      </c>
    </row>
    <row r="388" spans="1:16" ht="20.100000000000001" customHeight="1" x14ac:dyDescent="0.3">
      <c r="A388" s="2" t="s">
        <v>255</v>
      </c>
      <c r="B388" s="2" t="s">
        <v>768</v>
      </c>
      <c r="C388" s="3">
        <v>85</v>
      </c>
      <c r="D388" s="2" t="s">
        <v>758</v>
      </c>
      <c r="E388" s="4">
        <v>63.830608750000003</v>
      </c>
      <c r="F388" s="4">
        <v>2.4586525199999998</v>
      </c>
      <c r="G388" s="4">
        <v>38.139069470000003</v>
      </c>
      <c r="H388" s="2" t="s">
        <v>14</v>
      </c>
      <c r="I388" s="4">
        <v>11.08354591</v>
      </c>
      <c r="J388" s="4">
        <v>74.405279590000006</v>
      </c>
      <c r="K388" s="5">
        <v>13.91915988</v>
      </c>
      <c r="L388" s="3">
        <v>2.0447442819999999</v>
      </c>
      <c r="M388" s="2" t="s">
        <v>763</v>
      </c>
      <c r="N388" s="2" t="s">
        <v>18</v>
      </c>
      <c r="O388" s="4">
        <v>34.355850867148114</v>
      </c>
      <c r="P388" s="2" t="str">
        <f t="shared" si="6"/>
        <v>Outstanding</v>
      </c>
    </row>
    <row r="389" spans="1:16" ht="20.100000000000001" customHeight="1" x14ac:dyDescent="0.3">
      <c r="A389" s="2" t="s">
        <v>256</v>
      </c>
      <c r="B389" s="2" t="s">
        <v>769</v>
      </c>
      <c r="C389" s="3">
        <v>85</v>
      </c>
      <c r="D389" s="2" t="s">
        <v>757</v>
      </c>
      <c r="E389" s="4">
        <v>72.948024759999996</v>
      </c>
      <c r="F389" s="4">
        <v>3.7579528440000001</v>
      </c>
      <c r="G389" s="4">
        <v>14.790119300000001</v>
      </c>
      <c r="H389" s="2" t="s">
        <v>17</v>
      </c>
      <c r="I389" s="4">
        <v>38.584757549999999</v>
      </c>
      <c r="J389" s="4">
        <v>78.143000369999996</v>
      </c>
      <c r="K389" s="5">
        <v>34.422203590000002</v>
      </c>
      <c r="L389" s="3">
        <v>2</v>
      </c>
      <c r="M389" s="2" t="s">
        <v>763</v>
      </c>
      <c r="N389" s="2" t="s">
        <v>18</v>
      </c>
      <c r="O389" s="4">
        <v>24.528413251911342</v>
      </c>
      <c r="P389" s="2" t="str">
        <f t="shared" si="6"/>
        <v>Outstanding</v>
      </c>
    </row>
    <row r="390" spans="1:16" ht="20.100000000000001" customHeight="1" x14ac:dyDescent="0.3">
      <c r="A390" s="2" t="s">
        <v>257</v>
      </c>
      <c r="B390" s="2" t="s">
        <v>22</v>
      </c>
      <c r="C390" s="3">
        <v>62</v>
      </c>
      <c r="D390" s="2" t="s">
        <v>758</v>
      </c>
      <c r="E390" s="4">
        <v>65.183927690000004</v>
      </c>
      <c r="F390" s="4">
        <v>2.4083371119999999</v>
      </c>
      <c r="G390" s="4">
        <v>38.577705330000001</v>
      </c>
      <c r="H390" s="2" t="s">
        <v>28</v>
      </c>
      <c r="I390" s="4">
        <v>17.729717560000001</v>
      </c>
      <c r="J390" s="4">
        <v>82.791361699999996</v>
      </c>
      <c r="K390" s="5">
        <v>17.14920107</v>
      </c>
      <c r="L390" s="3">
        <v>1</v>
      </c>
      <c r="M390" s="2" t="s">
        <v>762</v>
      </c>
      <c r="N390" s="2" t="s">
        <v>15</v>
      </c>
      <c r="O390" s="4">
        <v>26.294035743488489</v>
      </c>
      <c r="P390" s="2" t="str">
        <f t="shared" si="6"/>
        <v>Outstanding</v>
      </c>
    </row>
    <row r="391" spans="1:16" ht="20.100000000000001" customHeight="1" x14ac:dyDescent="0.3">
      <c r="A391" s="2" t="s">
        <v>258</v>
      </c>
      <c r="B391" s="2" t="s">
        <v>769</v>
      </c>
      <c r="C391" s="3">
        <v>85</v>
      </c>
      <c r="D391" s="2" t="s">
        <v>761</v>
      </c>
      <c r="E391" s="4">
        <v>72.549956309999999</v>
      </c>
      <c r="F391" s="4">
        <v>0.359917241</v>
      </c>
      <c r="G391" s="4">
        <v>35.112702579999997</v>
      </c>
      <c r="H391" s="2" t="s">
        <v>17</v>
      </c>
      <c r="I391" s="4">
        <v>61.848832710000003</v>
      </c>
      <c r="J391" s="4">
        <v>64.367868540000003</v>
      </c>
      <c r="K391" s="5">
        <v>9.6879735650000001</v>
      </c>
      <c r="L391" s="3">
        <v>0</v>
      </c>
      <c r="M391" s="2" t="s">
        <v>764</v>
      </c>
      <c r="N391" s="2" t="s">
        <v>15</v>
      </c>
      <c r="O391" s="4">
        <v>1.5534254849835087</v>
      </c>
      <c r="P391" s="2" t="str">
        <f t="shared" si="6"/>
        <v>Low</v>
      </c>
    </row>
    <row r="392" spans="1:16" ht="20.100000000000001" customHeight="1" x14ac:dyDescent="0.3">
      <c r="A392" s="2" t="s">
        <v>259</v>
      </c>
      <c r="B392" s="2" t="s">
        <v>771</v>
      </c>
      <c r="C392" s="3">
        <v>100</v>
      </c>
      <c r="D392" s="2" t="s">
        <v>759</v>
      </c>
      <c r="E392" s="4">
        <v>57.556900059999997</v>
      </c>
      <c r="F392" s="4">
        <v>3.34150378</v>
      </c>
      <c r="G392" s="4">
        <v>13.03628314</v>
      </c>
      <c r="H392" s="2" t="s">
        <v>24</v>
      </c>
      <c r="I392" s="4">
        <v>55.284332489999997</v>
      </c>
      <c r="J392" s="4">
        <v>93.583738780000004</v>
      </c>
      <c r="K392" s="5">
        <v>24.248371819999999</v>
      </c>
      <c r="L392" s="3">
        <v>2</v>
      </c>
      <c r="M392" s="2" t="s">
        <v>762</v>
      </c>
      <c r="N392" s="2" t="s">
        <v>18</v>
      </c>
      <c r="O392" s="4">
        <v>22.04395100190866</v>
      </c>
      <c r="P392" s="2" t="str">
        <f t="shared" si="6"/>
        <v>Outstanding</v>
      </c>
    </row>
    <row r="393" spans="1:16" ht="20.100000000000001" customHeight="1" x14ac:dyDescent="0.3">
      <c r="A393" s="2" t="s">
        <v>260</v>
      </c>
      <c r="B393" s="2" t="s">
        <v>771</v>
      </c>
      <c r="C393" s="3">
        <v>75</v>
      </c>
      <c r="D393" s="2" t="s">
        <v>758</v>
      </c>
      <c r="E393" s="4">
        <v>21.030519649999999</v>
      </c>
      <c r="F393" s="4">
        <v>2.8444166860000002</v>
      </c>
      <c r="G393" s="4">
        <v>8.3329925179999993</v>
      </c>
      <c r="H393" s="2" t="s">
        <v>28</v>
      </c>
      <c r="I393" s="4">
        <v>16.00498511</v>
      </c>
      <c r="J393" s="4">
        <v>70.409891599999995</v>
      </c>
      <c r="K393" s="5">
        <v>35.800577359999998</v>
      </c>
      <c r="L393" s="3">
        <v>2.0817594650000002</v>
      </c>
      <c r="M393" s="2" t="s">
        <v>764</v>
      </c>
      <c r="N393" s="2" t="s">
        <v>15</v>
      </c>
      <c r="O393" s="4">
        <v>8.5812259124576791</v>
      </c>
      <c r="P393" s="2" t="str">
        <f t="shared" si="6"/>
        <v>Acceptable</v>
      </c>
    </row>
    <row r="394" spans="1:16" ht="20.100000000000001" customHeight="1" x14ac:dyDescent="0.3">
      <c r="A394" s="2" t="s">
        <v>261</v>
      </c>
      <c r="B394" s="2" t="s">
        <v>770</v>
      </c>
      <c r="C394" s="3">
        <v>62</v>
      </c>
      <c r="D394" s="2" t="s">
        <v>757</v>
      </c>
      <c r="E394" s="4">
        <v>16.4721403</v>
      </c>
      <c r="F394" s="4">
        <v>1.771715317</v>
      </c>
      <c r="G394" s="4">
        <v>22.11445681</v>
      </c>
      <c r="H394" s="2" t="s">
        <v>17</v>
      </c>
      <c r="I394" s="4">
        <v>90.699399690000007</v>
      </c>
      <c r="J394" s="4">
        <v>91.817802360000002</v>
      </c>
      <c r="K394" s="5">
        <v>39.911736179999998</v>
      </c>
      <c r="L394" s="3">
        <v>0</v>
      </c>
      <c r="M394" s="2" t="s">
        <v>763</v>
      </c>
      <c r="N394" s="2" t="s">
        <v>15</v>
      </c>
      <c r="O394" s="4">
        <v>0.11421941129123397</v>
      </c>
      <c r="P394" s="2" t="str">
        <f t="shared" si="6"/>
        <v>Low</v>
      </c>
    </row>
    <row r="395" spans="1:16" ht="20.100000000000001" customHeight="1" x14ac:dyDescent="0.3">
      <c r="A395" s="2" t="s">
        <v>262</v>
      </c>
      <c r="B395" s="2" t="s">
        <v>22</v>
      </c>
      <c r="C395" s="3">
        <v>50</v>
      </c>
      <c r="D395" s="2" t="s">
        <v>759</v>
      </c>
      <c r="E395" s="4">
        <v>78.306878130000001</v>
      </c>
      <c r="F395" s="4">
        <v>2.40015746</v>
      </c>
      <c r="G395" s="4">
        <v>11.811002500000001</v>
      </c>
      <c r="H395" s="2" t="s">
        <v>24</v>
      </c>
      <c r="I395" s="4">
        <v>18.936489779999999</v>
      </c>
      <c r="J395" s="4">
        <v>51.586668080000003</v>
      </c>
      <c r="K395" s="5">
        <v>4.6909699790000001</v>
      </c>
      <c r="L395" s="3">
        <v>1</v>
      </c>
      <c r="M395" s="2" t="s">
        <v>763</v>
      </c>
      <c r="N395" s="2" t="s">
        <v>15</v>
      </c>
      <c r="O395" s="4">
        <v>12.783667665304357</v>
      </c>
      <c r="P395" s="2" t="str">
        <f t="shared" si="6"/>
        <v>Superior</v>
      </c>
    </row>
    <row r="396" spans="1:16" ht="20.100000000000001" customHeight="1" x14ac:dyDescent="0.3">
      <c r="A396" s="2" t="s">
        <v>263</v>
      </c>
      <c r="B396" s="2" t="s">
        <v>769</v>
      </c>
      <c r="C396" s="3">
        <v>85</v>
      </c>
      <c r="D396" s="2" t="s">
        <v>760</v>
      </c>
      <c r="E396" s="4">
        <v>38.599659099999997</v>
      </c>
      <c r="F396" s="4">
        <v>3.911414722</v>
      </c>
      <c r="G396" s="4">
        <v>31.47135995</v>
      </c>
      <c r="H396" s="2" t="s">
        <v>14</v>
      </c>
      <c r="I396" s="4">
        <v>52.90034739</v>
      </c>
      <c r="J396" s="4">
        <v>72.175994020000005</v>
      </c>
      <c r="K396" s="5">
        <v>2.0373396210000001</v>
      </c>
      <c r="L396" s="3">
        <v>6</v>
      </c>
      <c r="M396" s="2" t="s">
        <v>764</v>
      </c>
      <c r="N396" s="2" t="s">
        <v>15</v>
      </c>
      <c r="O396" s="4">
        <v>6.3242838052255435</v>
      </c>
      <c r="P396" s="2" t="str">
        <f t="shared" si="6"/>
        <v>Acceptable</v>
      </c>
    </row>
    <row r="397" spans="1:16" ht="20.100000000000001" customHeight="1" x14ac:dyDescent="0.3">
      <c r="A397" s="2" t="s">
        <v>264</v>
      </c>
      <c r="B397" s="2" t="s">
        <v>22</v>
      </c>
      <c r="C397" s="3">
        <v>85</v>
      </c>
      <c r="D397" s="2" t="s">
        <v>760</v>
      </c>
      <c r="E397" s="4">
        <v>26.566509230000001</v>
      </c>
      <c r="F397" s="4">
        <v>1.065556256</v>
      </c>
      <c r="G397" s="4">
        <v>43.375916429999997</v>
      </c>
      <c r="H397" s="2" t="s">
        <v>24</v>
      </c>
      <c r="I397" s="4">
        <v>13.354201359999999</v>
      </c>
      <c r="J397" s="4">
        <v>65.432623840000005</v>
      </c>
      <c r="K397" s="5">
        <v>37.665443160000002</v>
      </c>
      <c r="L397" s="3">
        <v>7</v>
      </c>
      <c r="M397" s="2" t="s">
        <v>762</v>
      </c>
      <c r="N397" s="2" t="s">
        <v>18</v>
      </c>
      <c r="O397" s="4">
        <v>11.760106077739458</v>
      </c>
      <c r="P397" s="2" t="str">
        <f t="shared" si="6"/>
        <v>Superior</v>
      </c>
    </row>
    <row r="398" spans="1:16" ht="20.100000000000001" customHeight="1" x14ac:dyDescent="0.3">
      <c r="A398" s="2" t="s">
        <v>265</v>
      </c>
      <c r="B398" s="2" t="s">
        <v>22</v>
      </c>
      <c r="C398" s="3">
        <v>100</v>
      </c>
      <c r="D398" s="2" t="s">
        <v>761</v>
      </c>
      <c r="E398" s="4">
        <v>23.02231536</v>
      </c>
      <c r="F398" s="4">
        <v>2.6456373979999999</v>
      </c>
      <c r="G398" s="4">
        <v>6.9990328220000002</v>
      </c>
      <c r="H398" s="2" t="s">
        <v>14</v>
      </c>
      <c r="I398" s="4">
        <v>62.420900979999999</v>
      </c>
      <c r="J398" s="4">
        <v>91.383258350000006</v>
      </c>
      <c r="K398" s="5">
        <v>4.619965681</v>
      </c>
      <c r="L398" s="3">
        <v>6</v>
      </c>
      <c r="M398" s="2" t="s">
        <v>764</v>
      </c>
      <c r="N398" s="2" t="s">
        <v>15</v>
      </c>
      <c r="O398" s="4">
        <v>6.6678052494116038</v>
      </c>
      <c r="P398" s="2" t="str">
        <f t="shared" si="6"/>
        <v>Acceptable</v>
      </c>
    </row>
    <row r="399" spans="1:16" ht="20.100000000000001" customHeight="1" x14ac:dyDescent="0.3">
      <c r="A399" s="2" t="s">
        <v>266</v>
      </c>
      <c r="B399" s="2" t="s">
        <v>770</v>
      </c>
      <c r="C399" s="3">
        <v>39.297422529999999</v>
      </c>
      <c r="D399" s="2" t="s">
        <v>758</v>
      </c>
      <c r="E399" s="4">
        <v>21.002230099999998</v>
      </c>
      <c r="F399" s="4">
        <v>1.863435975</v>
      </c>
      <c r="G399" s="4">
        <v>26.232722880000001</v>
      </c>
      <c r="H399" s="2" t="s">
        <v>28</v>
      </c>
      <c r="I399" s="4">
        <v>32.275559199999996</v>
      </c>
      <c r="J399" s="4">
        <v>58.868338540000003</v>
      </c>
      <c r="K399" s="5">
        <v>37.199558570000001</v>
      </c>
      <c r="L399" s="3">
        <v>7</v>
      </c>
      <c r="M399" s="2" t="s">
        <v>763</v>
      </c>
      <c r="N399" s="2" t="s">
        <v>15</v>
      </c>
      <c r="O399" s="4">
        <v>2.1947911921634211</v>
      </c>
      <c r="P399" s="2" t="str">
        <f t="shared" si="6"/>
        <v>Low</v>
      </c>
    </row>
    <row r="400" spans="1:16" ht="20.100000000000001" customHeight="1" x14ac:dyDescent="0.3">
      <c r="A400" s="2" t="s">
        <v>47</v>
      </c>
      <c r="B400" s="2" t="s">
        <v>22</v>
      </c>
      <c r="C400" s="3">
        <v>75</v>
      </c>
      <c r="D400" s="2" t="s">
        <v>761</v>
      </c>
      <c r="E400" s="4">
        <v>67.475466139999995</v>
      </c>
      <c r="F400" s="4">
        <v>2.1051170789999998</v>
      </c>
      <c r="G400" s="4">
        <v>49.600799649999999</v>
      </c>
      <c r="H400" s="2" t="s">
        <v>28</v>
      </c>
      <c r="I400" s="4">
        <v>63.035941870000002</v>
      </c>
      <c r="J400" s="4">
        <v>81.750953499999994</v>
      </c>
      <c r="K400" s="5">
        <v>3.1941246419999998</v>
      </c>
      <c r="L400" s="3">
        <v>5</v>
      </c>
      <c r="M400" s="2" t="s">
        <v>762</v>
      </c>
      <c r="N400" s="2" t="s">
        <v>15</v>
      </c>
      <c r="O400" s="4">
        <v>9.4710310016232793</v>
      </c>
      <c r="P400" s="2" t="str">
        <f t="shared" si="6"/>
        <v>Acceptable</v>
      </c>
    </row>
    <row r="401" spans="1:16" ht="20.100000000000001" customHeight="1" x14ac:dyDescent="0.3">
      <c r="A401" s="2" t="s">
        <v>267</v>
      </c>
      <c r="B401" s="2" t="s">
        <v>22</v>
      </c>
      <c r="C401" s="3">
        <v>129.5241594</v>
      </c>
      <c r="D401" s="2" t="s">
        <v>761</v>
      </c>
      <c r="E401" s="4">
        <v>65.450878290000006</v>
      </c>
      <c r="F401" s="4">
        <v>3.9192599590000001</v>
      </c>
      <c r="G401" s="4">
        <v>47.443519170000002</v>
      </c>
      <c r="H401" s="2" t="s">
        <v>14</v>
      </c>
      <c r="I401" s="4">
        <v>17.565958899999998</v>
      </c>
      <c r="J401" s="4">
        <v>99.940817260000003</v>
      </c>
      <c r="K401" s="5">
        <v>10.837702739999999</v>
      </c>
      <c r="L401" s="3">
        <v>0</v>
      </c>
      <c r="M401" s="2" t="s">
        <v>764</v>
      </c>
      <c r="N401" s="2" t="s">
        <v>21</v>
      </c>
      <c r="O401" s="4">
        <v>69.833038988366397</v>
      </c>
      <c r="P401" s="2" t="str">
        <f t="shared" si="6"/>
        <v>Outstanding</v>
      </c>
    </row>
    <row r="402" spans="1:16" ht="20.100000000000001" customHeight="1" x14ac:dyDescent="0.3">
      <c r="A402" s="2" t="s">
        <v>268</v>
      </c>
      <c r="B402" s="2" t="s">
        <v>769</v>
      </c>
      <c r="C402" s="3">
        <v>85</v>
      </c>
      <c r="D402" s="2" t="s">
        <v>761</v>
      </c>
      <c r="E402" s="4">
        <v>46.923339149999997</v>
      </c>
      <c r="F402" s="4">
        <v>2.2193357159999998</v>
      </c>
      <c r="G402" s="4">
        <v>38.701990530000003</v>
      </c>
      <c r="H402" s="2" t="s">
        <v>28</v>
      </c>
      <c r="I402" s="4">
        <v>48.056001700000003</v>
      </c>
      <c r="J402" s="4">
        <v>81.160683910000003</v>
      </c>
      <c r="K402" s="5">
        <v>11.7963311</v>
      </c>
      <c r="L402" s="3">
        <v>6</v>
      </c>
      <c r="M402" s="2" t="s">
        <v>763</v>
      </c>
      <c r="N402" s="2" t="s">
        <v>18</v>
      </c>
      <c r="O402" s="4">
        <v>13.203748961738814</v>
      </c>
      <c r="P402" s="2" t="str">
        <f t="shared" si="6"/>
        <v>Superior</v>
      </c>
    </row>
    <row r="403" spans="1:16" ht="20.100000000000001" customHeight="1" x14ac:dyDescent="0.3">
      <c r="A403" s="2" t="s">
        <v>269</v>
      </c>
      <c r="B403" s="2" t="s">
        <v>768</v>
      </c>
      <c r="C403" s="3">
        <v>50</v>
      </c>
      <c r="D403" s="2" t="s">
        <v>759</v>
      </c>
      <c r="E403" s="4">
        <v>65.898611799999998</v>
      </c>
      <c r="F403" s="4">
        <v>2.1551991560000001</v>
      </c>
      <c r="G403" s="4">
        <v>39.459358760000001</v>
      </c>
      <c r="H403" s="2" t="s">
        <v>17</v>
      </c>
      <c r="I403" s="4">
        <v>73.79002998</v>
      </c>
      <c r="J403" s="4">
        <v>95.288628889999998</v>
      </c>
      <c r="K403" s="5">
        <v>26.153668669999998</v>
      </c>
      <c r="L403" s="3">
        <v>3</v>
      </c>
      <c r="M403" s="2" t="s">
        <v>763</v>
      </c>
      <c r="N403" s="2" t="s">
        <v>15</v>
      </c>
      <c r="O403" s="4">
        <v>7.0836391190699644</v>
      </c>
      <c r="P403" s="2" t="str">
        <f t="shared" si="6"/>
        <v>Acceptable</v>
      </c>
    </row>
    <row r="404" spans="1:16" ht="20.100000000000001" customHeight="1" x14ac:dyDescent="0.3">
      <c r="A404" s="2" t="s">
        <v>48</v>
      </c>
      <c r="B404" s="2" t="s">
        <v>769</v>
      </c>
      <c r="C404" s="3">
        <v>62</v>
      </c>
      <c r="D404" s="2" t="s">
        <v>757</v>
      </c>
      <c r="E404" s="4">
        <v>30.710934030000001</v>
      </c>
      <c r="F404" s="4">
        <v>1.633668608</v>
      </c>
      <c r="G404" s="4">
        <v>6.3526614449999999</v>
      </c>
      <c r="H404" s="2" t="s">
        <v>17</v>
      </c>
      <c r="I404" s="4">
        <v>76.12005336</v>
      </c>
      <c r="J404" s="4">
        <v>76.682430909999994</v>
      </c>
      <c r="K404" s="5">
        <v>27.89517678</v>
      </c>
      <c r="L404" s="3">
        <v>0</v>
      </c>
      <c r="M404" s="2" t="s">
        <v>763</v>
      </c>
      <c r="N404" s="2" t="s">
        <v>15</v>
      </c>
      <c r="O404" s="4">
        <v>0.10708106699561756</v>
      </c>
      <c r="P404" s="2" t="str">
        <f t="shared" si="6"/>
        <v>Low</v>
      </c>
    </row>
    <row r="405" spans="1:16" ht="20.100000000000001" customHeight="1" x14ac:dyDescent="0.3">
      <c r="A405" s="2" t="s">
        <v>270</v>
      </c>
      <c r="B405" s="2" t="s">
        <v>22</v>
      </c>
      <c r="C405" s="3">
        <v>75</v>
      </c>
      <c r="D405" s="2" t="s">
        <v>758</v>
      </c>
      <c r="E405" s="4">
        <v>41.950574770000003</v>
      </c>
      <c r="F405" s="4">
        <v>1.0209988139999999</v>
      </c>
      <c r="G405" s="4">
        <v>39.257004700000003</v>
      </c>
      <c r="H405" s="2" t="s">
        <v>14</v>
      </c>
      <c r="I405" s="4">
        <v>89.078101820000001</v>
      </c>
      <c r="J405" s="4">
        <v>96.163841989999995</v>
      </c>
      <c r="K405" s="5">
        <v>11.05077489</v>
      </c>
      <c r="L405" s="3">
        <v>7</v>
      </c>
      <c r="M405" s="2" t="s">
        <v>764</v>
      </c>
      <c r="N405" s="2" t="s">
        <v>15</v>
      </c>
      <c r="O405" s="4">
        <v>2.2293815460178292</v>
      </c>
      <c r="P405" s="2" t="str">
        <f t="shared" si="6"/>
        <v>Low</v>
      </c>
    </row>
    <row r="406" spans="1:16" ht="20.100000000000001" customHeight="1" x14ac:dyDescent="0.3">
      <c r="A406" s="2" t="s">
        <v>271</v>
      </c>
      <c r="B406" s="2" t="s">
        <v>770</v>
      </c>
      <c r="C406" s="3">
        <v>75</v>
      </c>
      <c r="D406" s="2" t="s">
        <v>760</v>
      </c>
      <c r="E406" s="4">
        <v>21.40957637</v>
      </c>
      <c r="F406" s="4">
        <v>2.6887474060000001</v>
      </c>
      <c r="G406" s="4">
        <v>24.625701060000001</v>
      </c>
      <c r="H406" s="2" t="s">
        <v>17</v>
      </c>
      <c r="I406" s="4">
        <v>33.347001880000001</v>
      </c>
      <c r="J406" s="4">
        <v>84.366885080000003</v>
      </c>
      <c r="K406" s="5">
        <v>29.298692119999998</v>
      </c>
      <c r="L406" s="3">
        <v>7</v>
      </c>
      <c r="M406" s="2" t="s">
        <v>762</v>
      </c>
      <c r="N406" s="2" t="s">
        <v>15</v>
      </c>
      <c r="O406" s="4">
        <v>8.1923556431915987</v>
      </c>
      <c r="P406" s="2" t="str">
        <f t="shared" si="6"/>
        <v>Acceptable</v>
      </c>
    </row>
    <row r="407" spans="1:16" ht="20.100000000000001" customHeight="1" x14ac:dyDescent="0.3">
      <c r="A407" s="2" t="s">
        <v>272</v>
      </c>
      <c r="B407" s="2" t="s">
        <v>771</v>
      </c>
      <c r="C407" s="3">
        <v>100</v>
      </c>
      <c r="D407" s="2" t="s">
        <v>759</v>
      </c>
      <c r="E407" s="4">
        <v>54.996003989999998</v>
      </c>
      <c r="F407" s="4">
        <v>1.246249685</v>
      </c>
      <c r="G407" s="4">
        <v>23.093104579999999</v>
      </c>
      <c r="H407" s="2" t="s">
        <v>17</v>
      </c>
      <c r="I407" s="4">
        <v>57.084327100000003</v>
      </c>
      <c r="J407" s="4">
        <v>88.929400419999993</v>
      </c>
      <c r="K407" s="5">
        <v>3.2442471290000001</v>
      </c>
      <c r="L407" s="3">
        <v>7</v>
      </c>
      <c r="M407" s="2" t="s">
        <v>764</v>
      </c>
      <c r="N407" s="2" t="s">
        <v>18</v>
      </c>
      <c r="O407" s="4">
        <v>17.513517793685619</v>
      </c>
      <c r="P407" s="2" t="str">
        <f t="shared" si="6"/>
        <v>Superior</v>
      </c>
    </row>
    <row r="408" spans="1:16" ht="20.100000000000001" customHeight="1" x14ac:dyDescent="0.3">
      <c r="A408" s="2" t="s">
        <v>273</v>
      </c>
      <c r="B408" s="2" t="s">
        <v>22</v>
      </c>
      <c r="C408" s="3">
        <v>100</v>
      </c>
      <c r="D408" s="2" t="s">
        <v>757</v>
      </c>
      <c r="E408" s="4">
        <v>27.611631150000001</v>
      </c>
      <c r="F408" s="4">
        <v>2.1747180099999999</v>
      </c>
      <c r="G408" s="4">
        <v>41.064082810000002</v>
      </c>
      <c r="H408" s="2" t="s">
        <v>14</v>
      </c>
      <c r="I408" s="4">
        <v>27.55212637</v>
      </c>
      <c r="J408" s="4">
        <v>68.849434830000007</v>
      </c>
      <c r="K408" s="5">
        <v>34.209461390000001</v>
      </c>
      <c r="L408" s="3">
        <v>6</v>
      </c>
      <c r="M408" s="2" t="s">
        <v>762</v>
      </c>
      <c r="N408" s="2" t="s">
        <v>18</v>
      </c>
      <c r="O408" s="4">
        <v>11.40286048685295</v>
      </c>
      <c r="P408" s="2" t="str">
        <f t="shared" si="6"/>
        <v>Superior</v>
      </c>
    </row>
    <row r="409" spans="1:16" ht="20.100000000000001" customHeight="1" x14ac:dyDescent="0.3">
      <c r="A409" s="2" t="s">
        <v>274</v>
      </c>
      <c r="B409" s="2" t="s">
        <v>769</v>
      </c>
      <c r="C409" s="3">
        <v>85</v>
      </c>
      <c r="D409" s="2" t="s">
        <v>758</v>
      </c>
      <c r="E409" s="4">
        <v>45.068533299999999</v>
      </c>
      <c r="F409" s="4">
        <v>1.712579576</v>
      </c>
      <c r="G409" s="4">
        <v>41.03311514</v>
      </c>
      <c r="H409" s="2" t="s">
        <v>28</v>
      </c>
      <c r="I409" s="4">
        <v>51.661939089999997</v>
      </c>
      <c r="J409" s="4">
        <v>92.057761830000004</v>
      </c>
      <c r="K409" s="5">
        <v>37.014167350000001</v>
      </c>
      <c r="L409" s="3">
        <v>6</v>
      </c>
      <c r="M409" s="2" t="s">
        <v>762</v>
      </c>
      <c r="N409" s="2" t="s">
        <v>21</v>
      </c>
      <c r="O409" s="4">
        <v>15.474934099877997</v>
      </c>
      <c r="P409" s="2" t="str">
        <f t="shared" si="6"/>
        <v>Superior</v>
      </c>
    </row>
    <row r="410" spans="1:16" ht="20.100000000000001" customHeight="1" x14ac:dyDescent="0.3">
      <c r="A410" s="2" t="s">
        <v>275</v>
      </c>
      <c r="B410" s="2" t="s">
        <v>768</v>
      </c>
      <c r="C410" s="3">
        <v>100</v>
      </c>
      <c r="D410" s="2" t="s">
        <v>760</v>
      </c>
      <c r="E410" s="4">
        <v>10.155212819999999</v>
      </c>
      <c r="F410" s="4">
        <v>1.5201044619999999</v>
      </c>
      <c r="G410" s="4">
        <v>41.180461600000001</v>
      </c>
      <c r="H410" s="2" t="s">
        <v>17</v>
      </c>
      <c r="I410" s="4">
        <v>28.835198380000001</v>
      </c>
      <c r="J410" s="4">
        <v>76.296843749999994</v>
      </c>
      <c r="K410" s="5">
        <v>7.5412406760000001</v>
      </c>
      <c r="L410" s="3">
        <v>1</v>
      </c>
      <c r="M410" s="2" t="s">
        <v>763</v>
      </c>
      <c r="N410" s="2" t="s">
        <v>15</v>
      </c>
      <c r="O410" s="4">
        <v>4.8198310951971752</v>
      </c>
      <c r="P410" s="2" t="str">
        <f t="shared" si="6"/>
        <v>Acceptable</v>
      </c>
    </row>
    <row r="411" spans="1:16" ht="20.100000000000001" customHeight="1" x14ac:dyDescent="0.3">
      <c r="A411" s="2" t="s">
        <v>276</v>
      </c>
      <c r="B411" s="2" t="s">
        <v>770</v>
      </c>
      <c r="C411" s="3">
        <v>75</v>
      </c>
      <c r="D411" s="2" t="s">
        <v>759</v>
      </c>
      <c r="E411" s="4">
        <v>54.997705430000003</v>
      </c>
      <c r="F411" s="4">
        <v>3.4786292849999998</v>
      </c>
      <c r="G411" s="4">
        <v>34.584572369999997</v>
      </c>
      <c r="H411" s="2" t="s">
        <v>17</v>
      </c>
      <c r="I411" s="4">
        <v>42.698074259999999</v>
      </c>
      <c r="J411" s="4">
        <v>60.690920570000003</v>
      </c>
      <c r="K411" s="5">
        <v>22.325250359999998</v>
      </c>
      <c r="L411" s="3">
        <v>1</v>
      </c>
      <c r="M411" s="2" t="s">
        <v>764</v>
      </c>
      <c r="N411" s="2" t="s">
        <v>15</v>
      </c>
      <c r="O411" s="4">
        <v>7.4217394590348205</v>
      </c>
      <c r="P411" s="2" t="str">
        <f t="shared" si="6"/>
        <v>Acceptable</v>
      </c>
    </row>
    <row r="412" spans="1:16" ht="20.100000000000001" customHeight="1" x14ac:dyDescent="0.3">
      <c r="A412" s="2" t="s">
        <v>277</v>
      </c>
      <c r="B412" s="2" t="s">
        <v>769</v>
      </c>
      <c r="C412" s="3">
        <v>75</v>
      </c>
      <c r="D412" s="2" t="s">
        <v>758</v>
      </c>
      <c r="E412" s="4">
        <v>64.870474740000006</v>
      </c>
      <c r="F412" s="4">
        <v>3.2339089620000001</v>
      </c>
      <c r="G412" s="4">
        <v>38.988169370000001</v>
      </c>
      <c r="H412" s="2" t="s">
        <v>28</v>
      </c>
      <c r="I412" s="4">
        <v>26.650711789999999</v>
      </c>
      <c r="J412" s="4">
        <v>56.364770700000001</v>
      </c>
      <c r="K412" s="5">
        <v>27.334094279999999</v>
      </c>
      <c r="L412" s="3">
        <v>4</v>
      </c>
      <c r="M412" s="2" t="s">
        <v>762</v>
      </c>
      <c r="N412" s="2" t="s">
        <v>18</v>
      </c>
      <c r="O412" s="4">
        <v>14.456738309580203</v>
      </c>
      <c r="P412" s="2" t="str">
        <f t="shared" si="6"/>
        <v>Superior</v>
      </c>
    </row>
    <row r="413" spans="1:16" ht="20.100000000000001" customHeight="1" x14ac:dyDescent="0.3">
      <c r="A413" s="2" t="s">
        <v>278</v>
      </c>
      <c r="B413" s="2" t="s">
        <v>770</v>
      </c>
      <c r="C413" s="3">
        <v>50</v>
      </c>
      <c r="D413" s="2" t="s">
        <v>758</v>
      </c>
      <c r="E413" s="4">
        <v>25.132335529999999</v>
      </c>
      <c r="F413" s="4">
        <v>1.8998602570000001</v>
      </c>
      <c r="G413" s="4">
        <v>16.20549351</v>
      </c>
      <c r="H413" s="2" t="s">
        <v>28</v>
      </c>
      <c r="I413" s="4">
        <v>25.684348119999999</v>
      </c>
      <c r="J413" s="4">
        <v>94.528636710000001</v>
      </c>
      <c r="K413" s="5">
        <v>40.255496860000001</v>
      </c>
      <c r="L413" s="3">
        <v>4</v>
      </c>
      <c r="M413" s="2" t="s">
        <v>762</v>
      </c>
      <c r="N413" s="2" t="s">
        <v>15</v>
      </c>
      <c r="O413" s="4">
        <v>8.651088800840153</v>
      </c>
      <c r="P413" s="2" t="str">
        <f t="shared" si="6"/>
        <v>Acceptable</v>
      </c>
    </row>
    <row r="414" spans="1:16" ht="20.100000000000001" customHeight="1" x14ac:dyDescent="0.3">
      <c r="A414" s="2" t="s">
        <v>279</v>
      </c>
      <c r="B414" s="2" t="s">
        <v>771</v>
      </c>
      <c r="C414" s="3">
        <v>100</v>
      </c>
      <c r="D414" s="2" t="s">
        <v>757</v>
      </c>
      <c r="E414" s="4">
        <v>14.46271926</v>
      </c>
      <c r="F414" s="4">
        <v>3.400121468</v>
      </c>
      <c r="G414" s="4">
        <v>44.040354299999997</v>
      </c>
      <c r="H414" s="2" t="s">
        <v>24</v>
      </c>
      <c r="I414" s="4">
        <v>14.15177929</v>
      </c>
      <c r="J414" s="4">
        <v>64.607192609999998</v>
      </c>
      <c r="K414" s="5">
        <v>1.7816978530000001</v>
      </c>
      <c r="L414" s="3">
        <v>2</v>
      </c>
      <c r="M414" s="2" t="s">
        <v>762</v>
      </c>
      <c r="N414" s="2" t="s">
        <v>21</v>
      </c>
      <c r="O414" s="4">
        <v>7.2972247799442451</v>
      </c>
      <c r="P414" s="2" t="str">
        <f t="shared" si="6"/>
        <v>Acceptable</v>
      </c>
    </row>
    <row r="415" spans="1:16" ht="20.100000000000001" customHeight="1" x14ac:dyDescent="0.3">
      <c r="A415" s="2" t="s">
        <v>280</v>
      </c>
      <c r="B415" s="2" t="s">
        <v>770</v>
      </c>
      <c r="C415" s="3">
        <v>75</v>
      </c>
      <c r="D415" s="2" t="s">
        <v>761</v>
      </c>
      <c r="E415" s="4">
        <v>44.418453049999997</v>
      </c>
      <c r="F415" s="4">
        <v>2.3443707300000001</v>
      </c>
      <c r="G415" s="4">
        <v>19.663022519999998</v>
      </c>
      <c r="H415" s="2" t="s">
        <v>14</v>
      </c>
      <c r="I415" s="4">
        <v>22.977128530000002</v>
      </c>
      <c r="J415" s="4">
        <v>94.856389579999998</v>
      </c>
      <c r="K415" s="5">
        <v>36.38826993</v>
      </c>
      <c r="L415" s="3">
        <v>2</v>
      </c>
      <c r="M415" s="2" t="s">
        <v>762</v>
      </c>
      <c r="N415" s="2" t="s">
        <v>21</v>
      </c>
      <c r="O415" s="4">
        <v>23.945741866635885</v>
      </c>
      <c r="P415" s="2" t="str">
        <f t="shared" si="6"/>
        <v>Outstanding</v>
      </c>
    </row>
    <row r="416" spans="1:16" ht="20.100000000000001" customHeight="1" x14ac:dyDescent="0.3">
      <c r="A416" s="2" t="s">
        <v>49</v>
      </c>
      <c r="B416" s="2" t="s">
        <v>768</v>
      </c>
      <c r="C416" s="3">
        <v>100</v>
      </c>
      <c r="D416" s="2" t="s">
        <v>760</v>
      </c>
      <c r="E416" s="4">
        <v>8.7131905760000006</v>
      </c>
      <c r="F416" s="4">
        <v>2.209542823</v>
      </c>
      <c r="G416" s="4">
        <v>49.275345590000001</v>
      </c>
      <c r="H416" s="2" t="s">
        <v>24</v>
      </c>
      <c r="I416" s="4">
        <v>27.196196010000001</v>
      </c>
      <c r="J416" s="4">
        <v>86.893917639999998</v>
      </c>
      <c r="K416" s="5">
        <v>5.378079584</v>
      </c>
      <c r="L416" s="3">
        <v>6</v>
      </c>
      <c r="M416" s="2" t="s">
        <v>763</v>
      </c>
      <c r="N416" s="2" t="s">
        <v>21</v>
      </c>
      <c r="O416" s="4">
        <v>5.2015762551518741</v>
      </c>
      <c r="P416" s="2" t="str">
        <f t="shared" si="6"/>
        <v>Acceptable</v>
      </c>
    </row>
    <row r="417" spans="1:16" ht="20.100000000000001" customHeight="1" x14ac:dyDescent="0.3">
      <c r="A417" s="2" t="s">
        <v>281</v>
      </c>
      <c r="B417" s="2" t="s">
        <v>770</v>
      </c>
      <c r="C417" s="3">
        <v>104.9172008</v>
      </c>
      <c r="D417" s="2" t="s">
        <v>760</v>
      </c>
      <c r="E417" s="4">
        <v>74.020427659999996</v>
      </c>
      <c r="F417" s="4">
        <v>2.6860483579999999</v>
      </c>
      <c r="G417" s="4">
        <v>31.703436020000002</v>
      </c>
      <c r="H417" s="2" t="s">
        <v>14</v>
      </c>
      <c r="I417" s="4">
        <v>37.010278169999999</v>
      </c>
      <c r="J417" s="4">
        <v>80.972905030000007</v>
      </c>
      <c r="K417" s="5">
        <v>17.890667690000001</v>
      </c>
      <c r="L417" s="3">
        <v>5</v>
      </c>
      <c r="M417" s="2" t="s">
        <v>764</v>
      </c>
      <c r="N417" s="2" t="s">
        <v>21</v>
      </c>
      <c r="O417" s="4">
        <v>34.141446676676317</v>
      </c>
      <c r="P417" s="2" t="str">
        <f t="shared" si="6"/>
        <v>Outstanding</v>
      </c>
    </row>
    <row r="418" spans="1:16" ht="20.100000000000001" customHeight="1" x14ac:dyDescent="0.3">
      <c r="A418" s="2" t="s">
        <v>282</v>
      </c>
      <c r="B418" s="2" t="s">
        <v>768</v>
      </c>
      <c r="C418" s="3">
        <v>85</v>
      </c>
      <c r="D418" s="2" t="s">
        <v>761</v>
      </c>
      <c r="E418" s="4">
        <v>36.50542214</v>
      </c>
      <c r="F418" s="4">
        <v>2.2555252750000001</v>
      </c>
      <c r="G418" s="4">
        <v>11.40879037</v>
      </c>
      <c r="H418" s="2" t="s">
        <v>17</v>
      </c>
      <c r="I418" s="4">
        <v>70.625919519999997</v>
      </c>
      <c r="J418" s="4">
        <v>79.489649990000004</v>
      </c>
      <c r="K418" s="5">
        <v>11.10232879</v>
      </c>
      <c r="L418" s="3">
        <v>5</v>
      </c>
      <c r="M418" s="2" t="s">
        <v>763</v>
      </c>
      <c r="N418" s="2" t="s">
        <v>21</v>
      </c>
      <c r="O418" s="4">
        <v>2.7503808916115129</v>
      </c>
      <c r="P418" s="2" t="str">
        <f t="shared" si="6"/>
        <v>Low</v>
      </c>
    </row>
    <row r="419" spans="1:16" ht="20.100000000000001" customHeight="1" x14ac:dyDescent="0.3">
      <c r="A419" s="2" t="s">
        <v>283</v>
      </c>
      <c r="B419" s="2" t="s">
        <v>770</v>
      </c>
      <c r="C419" s="3">
        <v>50</v>
      </c>
      <c r="D419" s="2" t="s">
        <v>759</v>
      </c>
      <c r="E419" s="4">
        <v>39.067086789999998</v>
      </c>
      <c r="F419" s="4">
        <v>3.8695920510000001</v>
      </c>
      <c r="G419" s="4">
        <v>16.674739850000002</v>
      </c>
      <c r="H419" s="2" t="s">
        <v>28</v>
      </c>
      <c r="I419" s="4">
        <v>76.150305619999997</v>
      </c>
      <c r="J419" s="4">
        <v>88.858988819999993</v>
      </c>
      <c r="K419" s="5">
        <v>18.617459119999999</v>
      </c>
      <c r="L419" s="3">
        <v>5</v>
      </c>
      <c r="M419" s="2" t="s">
        <v>762</v>
      </c>
      <c r="N419" s="2" t="s">
        <v>21</v>
      </c>
      <c r="O419" s="4">
        <v>2.4824561478050735</v>
      </c>
      <c r="P419" s="2" t="str">
        <f t="shared" si="6"/>
        <v>Low</v>
      </c>
    </row>
    <row r="420" spans="1:16" ht="20.100000000000001" customHeight="1" x14ac:dyDescent="0.3">
      <c r="A420" s="2" t="s">
        <v>284</v>
      </c>
      <c r="B420" s="2" t="s">
        <v>769</v>
      </c>
      <c r="C420" s="3">
        <v>50</v>
      </c>
      <c r="D420" s="2" t="s">
        <v>759</v>
      </c>
      <c r="E420" s="4">
        <v>63.79396887</v>
      </c>
      <c r="F420" s="4">
        <v>0.78072697700000004</v>
      </c>
      <c r="G420" s="4">
        <v>25.337742949999999</v>
      </c>
      <c r="H420" s="2" t="s">
        <v>24</v>
      </c>
      <c r="I420" s="4">
        <v>35.173745820000001</v>
      </c>
      <c r="J420" s="4">
        <v>92.897126589999999</v>
      </c>
      <c r="K420" s="5">
        <v>22.73671045</v>
      </c>
      <c r="L420" s="3">
        <v>2</v>
      </c>
      <c r="M420" s="2" t="s">
        <v>763</v>
      </c>
      <c r="N420" s="2" t="s">
        <v>15</v>
      </c>
      <c r="O420" s="4">
        <v>18.412017779562682</v>
      </c>
      <c r="P420" s="2" t="str">
        <f t="shared" si="6"/>
        <v>Superior</v>
      </c>
    </row>
    <row r="421" spans="1:16" ht="20.100000000000001" customHeight="1" x14ac:dyDescent="0.3">
      <c r="A421" s="2" t="s">
        <v>285</v>
      </c>
      <c r="B421" s="2" t="s">
        <v>771</v>
      </c>
      <c r="C421" s="3">
        <v>85</v>
      </c>
      <c r="D421" s="2" t="s">
        <v>758</v>
      </c>
      <c r="E421" s="4">
        <v>67.451241769999996</v>
      </c>
      <c r="F421" s="4">
        <v>0.84960211299999999</v>
      </c>
      <c r="G421" s="4">
        <v>45.019222839999998</v>
      </c>
      <c r="H421" s="2" t="s">
        <v>14</v>
      </c>
      <c r="I421" s="4">
        <v>36.067742430000003</v>
      </c>
      <c r="J421" s="4">
        <v>61.527334009999997</v>
      </c>
      <c r="K421" s="5">
        <v>20.705218739999999</v>
      </c>
      <c r="L421" s="3">
        <v>0</v>
      </c>
      <c r="M421" s="2" t="s">
        <v>764</v>
      </c>
      <c r="N421" s="2" t="s">
        <v>18</v>
      </c>
      <c r="O421" s="4">
        <v>14.596889069738307</v>
      </c>
      <c r="P421" s="2" t="str">
        <f t="shared" si="6"/>
        <v>Superior</v>
      </c>
    </row>
    <row r="422" spans="1:16" ht="20.100000000000001" customHeight="1" x14ac:dyDescent="0.3">
      <c r="A422" s="2" t="s">
        <v>286</v>
      </c>
      <c r="B422" s="2" t="s">
        <v>771</v>
      </c>
      <c r="C422" s="3">
        <v>62</v>
      </c>
      <c r="D422" s="2" t="s">
        <v>759</v>
      </c>
      <c r="E422" s="4">
        <v>56.888516000000003</v>
      </c>
      <c r="F422" s="4">
        <v>3.0028546860000001</v>
      </c>
      <c r="G422" s="4">
        <v>4.8661822450000001</v>
      </c>
      <c r="H422" s="2" t="s">
        <v>24</v>
      </c>
      <c r="I422" s="4">
        <v>24.393135730000001</v>
      </c>
      <c r="J422" s="4">
        <v>64.470876169999997</v>
      </c>
      <c r="K422" s="5">
        <v>29.95583092</v>
      </c>
      <c r="L422" s="3">
        <v>4</v>
      </c>
      <c r="M422" s="2" t="s">
        <v>763</v>
      </c>
      <c r="N422" s="2" t="s">
        <v>15</v>
      </c>
      <c r="O422" s="4">
        <v>14.13577170524168</v>
      </c>
      <c r="P422" s="2" t="str">
        <f t="shared" si="6"/>
        <v>Superior</v>
      </c>
    </row>
    <row r="423" spans="1:16" ht="20.100000000000001" customHeight="1" x14ac:dyDescent="0.3">
      <c r="A423" s="2" t="s">
        <v>287</v>
      </c>
      <c r="B423" s="2" t="s">
        <v>768</v>
      </c>
      <c r="C423" s="3">
        <v>62</v>
      </c>
      <c r="D423" s="2" t="s">
        <v>760</v>
      </c>
      <c r="E423" s="4">
        <v>47.012892170000001</v>
      </c>
      <c r="F423" s="4">
        <v>1.666889947</v>
      </c>
      <c r="G423" s="4">
        <v>32.351760749999997</v>
      </c>
      <c r="H423" s="2" t="s">
        <v>14</v>
      </c>
      <c r="I423" s="4">
        <v>27.334576089999999</v>
      </c>
      <c r="J423" s="4">
        <v>82.108199440000007</v>
      </c>
      <c r="K423" s="5">
        <v>15.72386244</v>
      </c>
      <c r="L423" s="3">
        <v>6</v>
      </c>
      <c r="M423" s="2" t="s">
        <v>763</v>
      </c>
      <c r="N423" s="2" t="s">
        <v>15</v>
      </c>
      <c r="O423" s="4">
        <v>15.965411979545218</v>
      </c>
      <c r="P423" s="2" t="str">
        <f t="shared" si="6"/>
        <v>Superior</v>
      </c>
    </row>
    <row r="424" spans="1:16" ht="20.100000000000001" customHeight="1" x14ac:dyDescent="0.3">
      <c r="A424" s="2" t="s">
        <v>288</v>
      </c>
      <c r="B424" s="2" t="s">
        <v>768</v>
      </c>
      <c r="C424" s="3">
        <v>75</v>
      </c>
      <c r="D424" s="2" t="s">
        <v>759</v>
      </c>
      <c r="E424" s="4">
        <v>73.619745249999994</v>
      </c>
      <c r="F424" s="4">
        <v>3.512410977</v>
      </c>
      <c r="G424" s="4">
        <v>25.2762721</v>
      </c>
      <c r="H424" s="2" t="s">
        <v>17</v>
      </c>
      <c r="I424" s="4">
        <v>36.214381920000001</v>
      </c>
      <c r="J424" s="4">
        <v>85.98415765</v>
      </c>
      <c r="K424" s="5">
        <v>36.158845220000003</v>
      </c>
      <c r="L424" s="3">
        <v>2</v>
      </c>
      <c r="M424" s="2" t="s">
        <v>763</v>
      </c>
      <c r="N424" s="2" t="s">
        <v>18</v>
      </c>
      <c r="O424" s="4">
        <v>27.480286577941744</v>
      </c>
      <c r="P424" s="2" t="str">
        <f t="shared" si="6"/>
        <v>Outstanding</v>
      </c>
    </row>
    <row r="425" spans="1:16" ht="20.100000000000001" customHeight="1" x14ac:dyDescent="0.3">
      <c r="A425" s="2" t="s">
        <v>50</v>
      </c>
      <c r="B425" s="2" t="s">
        <v>768</v>
      </c>
      <c r="C425" s="3">
        <v>85</v>
      </c>
      <c r="D425" s="2" t="s">
        <v>761</v>
      </c>
      <c r="E425" s="4">
        <v>9.0658808149999999</v>
      </c>
      <c r="F425" s="4">
        <v>0.51237818300000004</v>
      </c>
      <c r="G425" s="4">
        <v>40.178001989999999</v>
      </c>
      <c r="H425" s="2" t="s">
        <v>17</v>
      </c>
      <c r="I425" s="4">
        <v>13.87385811</v>
      </c>
      <c r="J425" s="4">
        <v>93.628423060000003</v>
      </c>
      <c r="K425" s="5">
        <v>30.691983799999999</v>
      </c>
      <c r="L425" s="3">
        <v>2.6163324829999999</v>
      </c>
      <c r="M425" s="2" t="s">
        <v>764</v>
      </c>
      <c r="N425" s="2" t="s">
        <v>18</v>
      </c>
      <c r="O425" s="4">
        <v>6.1458857324554508</v>
      </c>
      <c r="P425" s="2" t="str">
        <f t="shared" si="6"/>
        <v>Acceptable</v>
      </c>
    </row>
    <row r="426" spans="1:16" ht="20.100000000000001" customHeight="1" x14ac:dyDescent="0.3">
      <c r="A426" s="2" t="s">
        <v>289</v>
      </c>
      <c r="B426" s="2" t="s">
        <v>771</v>
      </c>
      <c r="C426" s="3">
        <v>50</v>
      </c>
      <c r="D426" s="2" t="s">
        <v>759</v>
      </c>
      <c r="E426" s="4">
        <v>37.162926149999997</v>
      </c>
      <c r="F426" s="4">
        <v>2.5098001499999998</v>
      </c>
      <c r="G426" s="4">
        <v>16.713570470000001</v>
      </c>
      <c r="H426" s="2" t="s">
        <v>24</v>
      </c>
      <c r="I426" s="4">
        <v>43.852129400000003</v>
      </c>
      <c r="J426" s="4">
        <v>85.039590050000001</v>
      </c>
      <c r="K426" s="5">
        <v>26.515870840000002</v>
      </c>
      <c r="L426" s="3">
        <v>7</v>
      </c>
      <c r="M426" s="2" t="s">
        <v>763</v>
      </c>
      <c r="N426" s="2" t="s">
        <v>15</v>
      </c>
      <c r="O426" s="4">
        <v>7.6532327922099048</v>
      </c>
      <c r="P426" s="2" t="str">
        <f t="shared" si="6"/>
        <v>Acceptable</v>
      </c>
    </row>
    <row r="427" spans="1:16" ht="20.100000000000001" customHeight="1" x14ac:dyDescent="0.3">
      <c r="A427" s="2" t="s">
        <v>290</v>
      </c>
      <c r="B427" s="2" t="s">
        <v>768</v>
      </c>
      <c r="C427" s="3">
        <v>75</v>
      </c>
      <c r="D427" s="2" t="s">
        <v>760</v>
      </c>
      <c r="E427" s="4">
        <v>34.661002099999997</v>
      </c>
      <c r="F427" s="4">
        <v>3.1763189430000001</v>
      </c>
      <c r="G427" s="4">
        <v>20.93942019</v>
      </c>
      <c r="H427" s="2" t="s">
        <v>17</v>
      </c>
      <c r="I427" s="4">
        <v>27.062953440000001</v>
      </c>
      <c r="J427" s="4">
        <v>96.573292929999994</v>
      </c>
      <c r="K427" s="5">
        <v>5.413055945</v>
      </c>
      <c r="L427" s="3">
        <v>2</v>
      </c>
      <c r="M427" s="2" t="s">
        <v>764</v>
      </c>
      <c r="N427" s="2" t="s">
        <v>15</v>
      </c>
      <c r="O427" s="4">
        <v>18.069735172759518</v>
      </c>
      <c r="P427" s="2" t="str">
        <f t="shared" si="6"/>
        <v>Superior</v>
      </c>
    </row>
    <row r="428" spans="1:16" ht="20.100000000000001" customHeight="1" x14ac:dyDescent="0.3">
      <c r="A428" s="2" t="s">
        <v>291</v>
      </c>
      <c r="B428" s="2" t="s">
        <v>768</v>
      </c>
      <c r="C428" s="3">
        <v>62</v>
      </c>
      <c r="D428" s="2" t="s">
        <v>759</v>
      </c>
      <c r="E428" s="4">
        <v>29.379323249999999</v>
      </c>
      <c r="F428" s="4">
        <v>3.7133896860000002</v>
      </c>
      <c r="G428" s="4">
        <v>9.761640088</v>
      </c>
      <c r="H428" s="2" t="s">
        <v>28</v>
      </c>
      <c r="I428" s="4">
        <v>53.306406199999998</v>
      </c>
      <c r="J428" s="4">
        <v>57.516417529999998</v>
      </c>
      <c r="K428" s="5">
        <v>26.351977890000001</v>
      </c>
      <c r="L428" s="3">
        <v>7</v>
      </c>
      <c r="M428" s="2" t="s">
        <v>764</v>
      </c>
      <c r="N428" s="2" t="s">
        <v>15</v>
      </c>
      <c r="O428" s="4">
        <v>0.76686115925144105</v>
      </c>
      <c r="P428" s="2" t="str">
        <f t="shared" si="6"/>
        <v>Low</v>
      </c>
    </row>
    <row r="429" spans="1:16" ht="20.100000000000001" customHeight="1" x14ac:dyDescent="0.3">
      <c r="A429" s="2" t="s">
        <v>292</v>
      </c>
      <c r="B429" s="2" t="s">
        <v>769</v>
      </c>
      <c r="C429" s="3">
        <v>62</v>
      </c>
      <c r="D429" s="2" t="s">
        <v>757</v>
      </c>
      <c r="E429" s="4">
        <v>16.08097433</v>
      </c>
      <c r="F429" s="4">
        <v>3.2688994139999998</v>
      </c>
      <c r="G429" s="4">
        <v>36.728131410000003</v>
      </c>
      <c r="H429" s="2" t="s">
        <v>24</v>
      </c>
      <c r="I429" s="4">
        <v>12.68873922</v>
      </c>
      <c r="J429" s="4">
        <v>82.085073550000004</v>
      </c>
      <c r="K429" s="5">
        <v>38.078463579999998</v>
      </c>
      <c r="L429" s="3">
        <v>0</v>
      </c>
      <c r="M429" s="2" t="s">
        <v>764</v>
      </c>
      <c r="N429" s="2" t="s">
        <v>18</v>
      </c>
      <c r="O429" s="4">
        <v>6.9189561599323328</v>
      </c>
      <c r="P429" s="2" t="str">
        <f t="shared" si="6"/>
        <v>Acceptable</v>
      </c>
    </row>
    <row r="430" spans="1:16" ht="20.100000000000001" customHeight="1" x14ac:dyDescent="0.3">
      <c r="A430" s="2" t="s">
        <v>293</v>
      </c>
      <c r="B430" s="2" t="s">
        <v>769</v>
      </c>
      <c r="C430" s="3">
        <v>75</v>
      </c>
      <c r="D430" s="2" t="s">
        <v>759</v>
      </c>
      <c r="E430" s="4">
        <v>7.5575674030000002</v>
      </c>
      <c r="F430" s="4">
        <v>1.500672016</v>
      </c>
      <c r="G430" s="4">
        <v>43.233906519999998</v>
      </c>
      <c r="H430" s="2" t="s">
        <v>28</v>
      </c>
      <c r="I430" s="4">
        <v>17.754276040000001</v>
      </c>
      <c r="J430" s="4">
        <v>99.071404020000003</v>
      </c>
      <c r="K430" s="5">
        <v>39.702759370000003</v>
      </c>
      <c r="L430" s="3">
        <v>3</v>
      </c>
      <c r="M430" s="2" t="s">
        <v>762</v>
      </c>
      <c r="N430" s="2" t="s">
        <v>15</v>
      </c>
      <c r="O430" s="4">
        <v>4.6091975679542054</v>
      </c>
      <c r="P430" s="2" t="str">
        <f t="shared" si="6"/>
        <v>Acceptable</v>
      </c>
    </row>
    <row r="431" spans="1:16" ht="20.100000000000001" customHeight="1" x14ac:dyDescent="0.3">
      <c r="A431" s="2" t="s">
        <v>294</v>
      </c>
      <c r="B431" s="2" t="s">
        <v>768</v>
      </c>
      <c r="C431" s="3">
        <v>85</v>
      </c>
      <c r="D431" s="2" t="s">
        <v>758</v>
      </c>
      <c r="E431" s="4">
        <v>60.123722870000002</v>
      </c>
      <c r="F431" s="4">
        <v>2.9690144350000001</v>
      </c>
      <c r="G431" s="4">
        <v>30.659343809999999</v>
      </c>
      <c r="H431" s="2" t="s">
        <v>28</v>
      </c>
      <c r="I431" s="4">
        <v>30.09851055</v>
      </c>
      <c r="J431" s="4">
        <v>86.757939899999997</v>
      </c>
      <c r="K431" s="5">
        <v>34.632246989999999</v>
      </c>
      <c r="L431" s="3">
        <v>6</v>
      </c>
      <c r="M431" s="2" t="s">
        <v>764</v>
      </c>
      <c r="N431" s="2" t="s">
        <v>21</v>
      </c>
      <c r="O431" s="4">
        <v>28.955894539799825</v>
      </c>
      <c r="P431" s="2" t="str">
        <f t="shared" si="6"/>
        <v>Outstanding</v>
      </c>
    </row>
    <row r="432" spans="1:16" ht="20.100000000000001" customHeight="1" x14ac:dyDescent="0.3">
      <c r="A432" s="2" t="s">
        <v>295</v>
      </c>
      <c r="B432" s="2" t="s">
        <v>770</v>
      </c>
      <c r="C432" s="3">
        <v>85</v>
      </c>
      <c r="D432" s="2" t="s">
        <v>759</v>
      </c>
      <c r="E432" s="4">
        <v>67.939425720000003</v>
      </c>
      <c r="F432" s="4">
        <v>1.2230618929999999</v>
      </c>
      <c r="G432" s="4">
        <v>17.899664300000001</v>
      </c>
      <c r="H432" s="2" t="s">
        <v>24</v>
      </c>
      <c r="I432" s="4">
        <v>46.180880809999998</v>
      </c>
      <c r="J432" s="4">
        <v>57.467665539999999</v>
      </c>
      <c r="K432" s="5">
        <v>5.5431292870000002</v>
      </c>
      <c r="L432" s="3">
        <v>3</v>
      </c>
      <c r="M432" s="2" t="s">
        <v>763</v>
      </c>
      <c r="N432" s="2" t="s">
        <v>21</v>
      </c>
      <c r="O432" s="4">
        <v>6.5179502186424543</v>
      </c>
      <c r="P432" s="2" t="str">
        <f t="shared" si="6"/>
        <v>Acceptable</v>
      </c>
    </row>
    <row r="433" spans="1:16" ht="20.100000000000001" customHeight="1" x14ac:dyDescent="0.3">
      <c r="A433" s="2" t="s">
        <v>296</v>
      </c>
      <c r="B433" s="2" t="s">
        <v>768</v>
      </c>
      <c r="C433" s="3">
        <v>100</v>
      </c>
      <c r="D433" s="2" t="s">
        <v>761</v>
      </c>
      <c r="E433" s="4">
        <v>20.45364202</v>
      </c>
      <c r="F433" s="4">
        <v>0.91979064399999999</v>
      </c>
      <c r="G433" s="4">
        <v>26.504642659999998</v>
      </c>
      <c r="H433" s="2" t="s">
        <v>14</v>
      </c>
      <c r="I433" s="4">
        <v>57.960786349999999</v>
      </c>
      <c r="J433" s="4">
        <v>73.661186810000004</v>
      </c>
      <c r="K433" s="5">
        <v>7.5017985249999999</v>
      </c>
      <c r="L433" s="3">
        <v>1</v>
      </c>
      <c r="M433" s="2" t="s">
        <v>764</v>
      </c>
      <c r="N433" s="2" t="s">
        <v>15</v>
      </c>
      <c r="O433" s="4">
        <v>3.2113037057948346</v>
      </c>
      <c r="P433" s="2" t="str">
        <f t="shared" si="6"/>
        <v>Acceptable</v>
      </c>
    </row>
    <row r="434" spans="1:16" ht="20.100000000000001" customHeight="1" x14ac:dyDescent="0.3">
      <c r="A434" s="2" t="s">
        <v>297</v>
      </c>
      <c r="B434" s="2" t="s">
        <v>769</v>
      </c>
      <c r="C434" s="3">
        <v>100</v>
      </c>
      <c r="D434" s="2" t="s">
        <v>759</v>
      </c>
      <c r="E434" s="4">
        <v>9.7169466839999998</v>
      </c>
      <c r="F434" s="4">
        <v>2.3680969329999999</v>
      </c>
      <c r="G434" s="4">
        <v>43.55543394</v>
      </c>
      <c r="H434" s="2" t="s">
        <v>24</v>
      </c>
      <c r="I434" s="4">
        <v>17.340151030000001</v>
      </c>
      <c r="J434" s="4">
        <v>75.079750000000004</v>
      </c>
      <c r="K434" s="5">
        <v>5.9378261459999999</v>
      </c>
      <c r="L434" s="3">
        <v>4</v>
      </c>
      <c r="M434" s="2" t="s">
        <v>763</v>
      </c>
      <c r="N434" s="2" t="s">
        <v>21</v>
      </c>
      <c r="O434" s="4">
        <v>5.6105260474703131</v>
      </c>
      <c r="P434" s="2" t="str">
        <f t="shared" si="6"/>
        <v>Acceptable</v>
      </c>
    </row>
    <row r="435" spans="1:16" ht="20.100000000000001" customHeight="1" x14ac:dyDescent="0.3">
      <c r="A435" s="2" t="s">
        <v>298</v>
      </c>
      <c r="B435" s="2" t="s">
        <v>770</v>
      </c>
      <c r="C435" s="3">
        <v>62</v>
      </c>
      <c r="D435" s="2" t="s">
        <v>760</v>
      </c>
      <c r="E435" s="4">
        <v>61.684343220000002</v>
      </c>
      <c r="F435" s="4">
        <v>0.67430098999999999</v>
      </c>
      <c r="G435" s="4">
        <v>13.412801610000001</v>
      </c>
      <c r="H435" s="2" t="s">
        <v>28</v>
      </c>
      <c r="I435" s="4">
        <v>86.668045039999996</v>
      </c>
      <c r="J435" s="4">
        <v>87.83956714</v>
      </c>
      <c r="K435" s="5">
        <v>37.440012539999998</v>
      </c>
      <c r="L435" s="3">
        <v>6</v>
      </c>
      <c r="M435" s="2" t="s">
        <v>762</v>
      </c>
      <c r="N435" s="2" t="s">
        <v>15</v>
      </c>
      <c r="O435" s="4">
        <v>0.4480403420985356</v>
      </c>
      <c r="P435" s="2" t="str">
        <f t="shared" si="6"/>
        <v>Low</v>
      </c>
    </row>
    <row r="436" spans="1:16" ht="20.100000000000001" customHeight="1" x14ac:dyDescent="0.3">
      <c r="A436" s="2" t="s">
        <v>299</v>
      </c>
      <c r="B436" s="2" t="s">
        <v>769</v>
      </c>
      <c r="C436" s="3">
        <v>62</v>
      </c>
      <c r="D436" s="2" t="s">
        <v>758</v>
      </c>
      <c r="E436" s="4">
        <v>28.578878079999999</v>
      </c>
      <c r="F436" s="4">
        <v>0.97727978800000004</v>
      </c>
      <c r="G436" s="4">
        <v>18.890509260000002</v>
      </c>
      <c r="H436" s="2" t="s">
        <v>24</v>
      </c>
      <c r="I436" s="4">
        <v>25.487878219999999</v>
      </c>
      <c r="J436" s="4">
        <v>91.466119500000005</v>
      </c>
      <c r="K436" s="5">
        <v>17.675093650000001</v>
      </c>
      <c r="L436" s="3">
        <v>3</v>
      </c>
      <c r="M436" s="2" t="s">
        <v>764</v>
      </c>
      <c r="N436" s="2" t="s">
        <v>21</v>
      </c>
      <c r="O436" s="4">
        <v>11.690621503538448</v>
      </c>
      <c r="P436" s="2" t="str">
        <f t="shared" si="6"/>
        <v>Superior</v>
      </c>
    </row>
    <row r="437" spans="1:16" ht="20.100000000000001" customHeight="1" x14ac:dyDescent="0.3">
      <c r="A437" s="2" t="s">
        <v>300</v>
      </c>
      <c r="B437" s="2" t="s">
        <v>22</v>
      </c>
      <c r="C437" s="3">
        <v>85</v>
      </c>
      <c r="D437" s="2" t="s">
        <v>760</v>
      </c>
      <c r="E437" s="4">
        <v>46.766044260000001</v>
      </c>
      <c r="F437" s="4">
        <v>0.897608293</v>
      </c>
      <c r="G437" s="4">
        <v>1.4725491390000001</v>
      </c>
      <c r="H437" s="2" t="s">
        <v>17</v>
      </c>
      <c r="I437" s="4">
        <v>18.361941730000002</v>
      </c>
      <c r="J437" s="4">
        <v>58.129527789999997</v>
      </c>
      <c r="K437" s="5">
        <v>6.2700191360000002</v>
      </c>
      <c r="L437" s="3">
        <v>7</v>
      </c>
      <c r="M437" s="2" t="s">
        <v>764</v>
      </c>
      <c r="N437" s="2" t="s">
        <v>15</v>
      </c>
      <c r="O437" s="4">
        <v>15.808067863260213</v>
      </c>
      <c r="P437" s="2" t="str">
        <f t="shared" si="6"/>
        <v>Superior</v>
      </c>
    </row>
    <row r="438" spans="1:16" ht="20.100000000000001" customHeight="1" x14ac:dyDescent="0.3">
      <c r="A438" s="2" t="s">
        <v>301</v>
      </c>
      <c r="B438" s="2" t="s">
        <v>22</v>
      </c>
      <c r="C438" s="3">
        <v>87.488623869999998</v>
      </c>
      <c r="D438" s="2" t="s">
        <v>759</v>
      </c>
      <c r="E438" s="4">
        <v>17.759774549999999</v>
      </c>
      <c r="F438" s="4">
        <v>2.7152626249999998</v>
      </c>
      <c r="G438" s="4">
        <v>42.822405099999997</v>
      </c>
      <c r="H438" s="2" t="s">
        <v>17</v>
      </c>
      <c r="I438" s="4">
        <v>17.018773150000001</v>
      </c>
      <c r="J438" s="4">
        <v>77.27513132</v>
      </c>
      <c r="K438" s="5">
        <v>28.11987388</v>
      </c>
      <c r="L438" s="3">
        <v>0</v>
      </c>
      <c r="M438" s="2" t="s">
        <v>764</v>
      </c>
      <c r="N438" s="2" t="s">
        <v>18</v>
      </c>
      <c r="O438" s="4">
        <v>9.3625017882326524</v>
      </c>
      <c r="P438" s="2" t="str">
        <f t="shared" si="6"/>
        <v>Acceptable</v>
      </c>
    </row>
    <row r="439" spans="1:16" ht="20.100000000000001" customHeight="1" x14ac:dyDescent="0.3">
      <c r="A439" s="2" t="s">
        <v>302</v>
      </c>
      <c r="B439" s="2" t="s">
        <v>769</v>
      </c>
      <c r="C439" s="3">
        <v>100</v>
      </c>
      <c r="D439" s="2" t="s">
        <v>761</v>
      </c>
      <c r="E439" s="4">
        <v>21.069157579999999</v>
      </c>
      <c r="F439" s="4">
        <v>3.7240547290000001</v>
      </c>
      <c r="G439" s="4">
        <v>28.50901498</v>
      </c>
      <c r="H439" s="2" t="s">
        <v>28</v>
      </c>
      <c r="I439" s="4">
        <v>37.966771989999998</v>
      </c>
      <c r="J439" s="4">
        <v>66.651863199999994</v>
      </c>
      <c r="K439" s="5">
        <v>5.9220508980000002</v>
      </c>
      <c r="L439" s="3">
        <v>7</v>
      </c>
      <c r="M439" s="2" t="s">
        <v>762</v>
      </c>
      <c r="N439" s="2" t="s">
        <v>15</v>
      </c>
      <c r="O439" s="4">
        <v>6.0437070690016279</v>
      </c>
      <c r="P439" s="2" t="str">
        <f t="shared" si="6"/>
        <v>Acceptable</v>
      </c>
    </row>
    <row r="440" spans="1:16" ht="20.100000000000001" customHeight="1" x14ac:dyDescent="0.3">
      <c r="A440" s="2" t="s">
        <v>303</v>
      </c>
      <c r="B440" s="2" t="s">
        <v>771</v>
      </c>
      <c r="C440" s="3">
        <v>85</v>
      </c>
      <c r="D440" s="2" t="s">
        <v>759</v>
      </c>
      <c r="E440" s="4">
        <v>44.870056179999999</v>
      </c>
      <c r="F440" s="4">
        <v>1.5873397709999999</v>
      </c>
      <c r="G440" s="4">
        <v>41.419459029999999</v>
      </c>
      <c r="H440" s="2" t="s">
        <v>14</v>
      </c>
      <c r="I440" s="4">
        <v>39.495552940000003</v>
      </c>
      <c r="J440" s="4">
        <v>81.209076469999999</v>
      </c>
      <c r="K440" s="5">
        <v>7.0669943599999998</v>
      </c>
      <c r="L440" s="3">
        <v>3</v>
      </c>
      <c r="M440" s="2" t="s">
        <v>762</v>
      </c>
      <c r="N440" s="2" t="s">
        <v>15</v>
      </c>
      <c r="O440" s="4">
        <v>15.90934922618324</v>
      </c>
      <c r="P440" s="2" t="str">
        <f t="shared" si="6"/>
        <v>Superior</v>
      </c>
    </row>
    <row r="441" spans="1:16" ht="20.100000000000001" customHeight="1" x14ac:dyDescent="0.3">
      <c r="A441" s="2" t="s">
        <v>304</v>
      </c>
      <c r="B441" s="2" t="s">
        <v>771</v>
      </c>
      <c r="C441" s="3">
        <v>62</v>
      </c>
      <c r="D441" s="2" t="s">
        <v>760</v>
      </c>
      <c r="E441" s="4">
        <v>46.211718009999998</v>
      </c>
      <c r="F441" s="4">
        <v>3.4131659920000001</v>
      </c>
      <c r="G441" s="4">
        <v>48.972887659999998</v>
      </c>
      <c r="H441" s="2" t="s">
        <v>17</v>
      </c>
      <c r="I441" s="4">
        <v>28.232040600000001</v>
      </c>
      <c r="J441" s="4">
        <v>72.283748930000002</v>
      </c>
      <c r="K441" s="5">
        <v>15.693085590000001</v>
      </c>
      <c r="L441" s="3">
        <v>4</v>
      </c>
      <c r="M441" s="2" t="s">
        <v>763</v>
      </c>
      <c r="N441" s="2" t="s">
        <v>18</v>
      </c>
      <c r="O441" s="4">
        <v>12.621371763869313</v>
      </c>
      <c r="P441" s="2" t="str">
        <f t="shared" si="6"/>
        <v>Superior</v>
      </c>
    </row>
    <row r="442" spans="1:16" ht="20.100000000000001" customHeight="1" x14ac:dyDescent="0.3">
      <c r="A442" s="2" t="s">
        <v>305</v>
      </c>
      <c r="B442" s="2" t="s">
        <v>768</v>
      </c>
      <c r="C442" s="3">
        <v>62</v>
      </c>
      <c r="D442" s="2" t="s">
        <v>759</v>
      </c>
      <c r="E442" s="4">
        <v>57.038403969999997</v>
      </c>
      <c r="F442" s="4">
        <v>2.1878805730000002</v>
      </c>
      <c r="G442" s="4">
        <v>43.967390639999998</v>
      </c>
      <c r="H442" s="2" t="s">
        <v>14</v>
      </c>
      <c r="I442" s="4">
        <v>65.233131270000001</v>
      </c>
      <c r="J442" s="4">
        <v>89.089269560000005</v>
      </c>
      <c r="K442" s="5">
        <v>8.2234429420000001</v>
      </c>
      <c r="L442" s="3">
        <v>5</v>
      </c>
      <c r="M442" s="2" t="s">
        <v>764</v>
      </c>
      <c r="N442" s="2" t="s">
        <v>18</v>
      </c>
      <c r="O442" s="4">
        <v>8.4364395282850708</v>
      </c>
      <c r="P442" s="2" t="str">
        <f t="shared" si="6"/>
        <v>Acceptable</v>
      </c>
    </row>
    <row r="443" spans="1:16" ht="20.100000000000001" customHeight="1" x14ac:dyDescent="0.3">
      <c r="A443" s="2" t="s">
        <v>306</v>
      </c>
      <c r="B443" s="2" t="s">
        <v>22</v>
      </c>
      <c r="C443" s="3">
        <v>51.112913919999997</v>
      </c>
      <c r="D443" s="2" t="s">
        <v>759</v>
      </c>
      <c r="E443" s="4">
        <v>33.013974820000001</v>
      </c>
      <c r="F443" s="4">
        <v>2.6616678349999998</v>
      </c>
      <c r="G443" s="4">
        <v>31.903997530000002</v>
      </c>
      <c r="H443" s="2" t="s">
        <v>28</v>
      </c>
      <c r="I443" s="4">
        <v>51.939978510000003</v>
      </c>
      <c r="J443" s="4">
        <v>68.814308760000003</v>
      </c>
      <c r="K443" s="5">
        <v>18.7966227</v>
      </c>
      <c r="L443" s="3">
        <v>0</v>
      </c>
      <c r="M443" s="2" t="s">
        <v>763</v>
      </c>
      <c r="N443" s="2" t="s">
        <v>21</v>
      </c>
      <c r="O443" s="4">
        <v>2.8474427483354079</v>
      </c>
      <c r="P443" s="2" t="str">
        <f t="shared" si="6"/>
        <v>Low</v>
      </c>
    </row>
    <row r="444" spans="1:16" ht="20.100000000000001" customHeight="1" x14ac:dyDescent="0.3">
      <c r="A444" s="2" t="s">
        <v>307</v>
      </c>
      <c r="B444" s="2" t="s">
        <v>770</v>
      </c>
      <c r="C444" s="3">
        <v>50</v>
      </c>
      <c r="D444" s="2" t="s">
        <v>761</v>
      </c>
      <c r="E444" s="4">
        <v>53.173973820000001</v>
      </c>
      <c r="F444" s="4">
        <v>0.62653431199999998</v>
      </c>
      <c r="G444" s="4">
        <v>19.149193199999999</v>
      </c>
      <c r="H444" s="2" t="s">
        <v>24</v>
      </c>
      <c r="I444" s="4">
        <v>40.519600799999999</v>
      </c>
      <c r="J444" s="4">
        <v>70.547023359999997</v>
      </c>
      <c r="K444" s="5">
        <v>37.891269250000001</v>
      </c>
      <c r="L444" s="3">
        <v>2</v>
      </c>
      <c r="M444" s="2" t="s">
        <v>764</v>
      </c>
      <c r="N444" s="2" t="s">
        <v>21</v>
      </c>
      <c r="O444" s="4">
        <v>7.9833869054375874</v>
      </c>
      <c r="P444" s="2" t="str">
        <f t="shared" si="6"/>
        <v>Acceptable</v>
      </c>
    </row>
    <row r="445" spans="1:16" ht="20.100000000000001" customHeight="1" x14ac:dyDescent="0.3">
      <c r="A445" s="2" t="s">
        <v>308</v>
      </c>
      <c r="B445" s="2" t="s">
        <v>770</v>
      </c>
      <c r="C445" s="3">
        <v>85</v>
      </c>
      <c r="D445" s="2" t="s">
        <v>761</v>
      </c>
      <c r="E445" s="4">
        <v>56.727623180000002</v>
      </c>
      <c r="F445" s="4">
        <v>2.0140099280000001</v>
      </c>
      <c r="G445" s="4">
        <v>11.926340209999999</v>
      </c>
      <c r="H445" s="2" t="s">
        <v>28</v>
      </c>
      <c r="I445" s="4">
        <v>37.88224306</v>
      </c>
      <c r="J445" s="4">
        <v>62.637588620000002</v>
      </c>
      <c r="K445" s="5">
        <v>10.57069012</v>
      </c>
      <c r="L445" s="3">
        <v>6</v>
      </c>
      <c r="M445" s="2" t="s">
        <v>763</v>
      </c>
      <c r="N445" s="2" t="s">
        <v>21</v>
      </c>
      <c r="O445" s="4">
        <v>11.936651274256114</v>
      </c>
      <c r="P445" s="2" t="str">
        <f t="shared" si="6"/>
        <v>Superior</v>
      </c>
    </row>
    <row r="446" spans="1:16" ht="20.100000000000001" customHeight="1" x14ac:dyDescent="0.3">
      <c r="A446" s="2" t="s">
        <v>51</v>
      </c>
      <c r="B446" s="2" t="s">
        <v>771</v>
      </c>
      <c r="C446" s="3">
        <v>100</v>
      </c>
      <c r="D446" s="2" t="s">
        <v>758</v>
      </c>
      <c r="E446" s="4">
        <v>17.769436410000001</v>
      </c>
      <c r="F446" s="4">
        <v>3.3140797630000001</v>
      </c>
      <c r="G446" s="4">
        <v>34.458241940000001</v>
      </c>
      <c r="H446" s="2" t="s">
        <v>14</v>
      </c>
      <c r="I446" s="4">
        <v>27.697492489999998</v>
      </c>
      <c r="J446" s="4">
        <v>70.510267249999998</v>
      </c>
      <c r="K446" s="5">
        <v>19.70335918</v>
      </c>
      <c r="L446" s="3">
        <v>4</v>
      </c>
      <c r="M446" s="2" t="s">
        <v>764</v>
      </c>
      <c r="N446" s="2" t="s">
        <v>18</v>
      </c>
      <c r="O446" s="4">
        <v>7.6075887863347296</v>
      </c>
      <c r="P446" s="2" t="str">
        <f t="shared" si="6"/>
        <v>Acceptable</v>
      </c>
    </row>
    <row r="447" spans="1:16" ht="20.100000000000001" customHeight="1" x14ac:dyDescent="0.3">
      <c r="A447" s="2" t="s">
        <v>309</v>
      </c>
      <c r="B447" s="2" t="s">
        <v>22</v>
      </c>
      <c r="C447" s="3">
        <v>75</v>
      </c>
      <c r="D447" s="2" t="s">
        <v>761</v>
      </c>
      <c r="E447" s="4">
        <v>44.90995547</v>
      </c>
      <c r="F447" s="4">
        <v>0.89394077599999999</v>
      </c>
      <c r="G447" s="4">
        <v>16.74923596</v>
      </c>
      <c r="H447" s="2" t="s">
        <v>28</v>
      </c>
      <c r="I447" s="4">
        <v>32.675379159999999</v>
      </c>
      <c r="J447" s="4">
        <v>97.144439800000001</v>
      </c>
      <c r="K447" s="5">
        <v>27.186087400000002</v>
      </c>
      <c r="L447" s="3">
        <v>6</v>
      </c>
      <c r="M447" s="2" t="s">
        <v>763</v>
      </c>
      <c r="N447" s="2" t="s">
        <v>18</v>
      </c>
      <c r="O447" s="4">
        <v>21.714769819013476</v>
      </c>
      <c r="P447" s="2" t="str">
        <f t="shared" si="6"/>
        <v>Outstanding</v>
      </c>
    </row>
    <row r="448" spans="1:16" ht="20.100000000000001" customHeight="1" x14ac:dyDescent="0.3">
      <c r="A448" s="2" t="s">
        <v>310</v>
      </c>
      <c r="B448" s="2" t="s">
        <v>771</v>
      </c>
      <c r="C448" s="3">
        <v>85</v>
      </c>
      <c r="D448" s="2" t="s">
        <v>759</v>
      </c>
      <c r="E448" s="4">
        <v>13.8765576</v>
      </c>
      <c r="F448" s="4">
        <v>2.164520934</v>
      </c>
      <c r="G448" s="4">
        <v>46.75927145</v>
      </c>
      <c r="H448" s="2" t="s">
        <v>28</v>
      </c>
      <c r="I448" s="4">
        <v>68.864928309999996</v>
      </c>
      <c r="J448" s="4">
        <v>76.928415229999999</v>
      </c>
      <c r="K448" s="5">
        <v>37.252319900000003</v>
      </c>
      <c r="L448" s="3">
        <v>7</v>
      </c>
      <c r="M448" s="2" t="s">
        <v>764</v>
      </c>
      <c r="N448" s="2" t="s">
        <v>21</v>
      </c>
      <c r="O448" s="4">
        <v>0.95109424596892633</v>
      </c>
      <c r="P448" s="2" t="str">
        <f t="shared" si="6"/>
        <v>Low</v>
      </c>
    </row>
    <row r="449" spans="1:16" ht="20.100000000000001" customHeight="1" x14ac:dyDescent="0.3">
      <c r="A449" s="2" t="s">
        <v>311</v>
      </c>
      <c r="B449" s="2" t="s">
        <v>22</v>
      </c>
      <c r="C449" s="3">
        <v>62</v>
      </c>
      <c r="D449" s="2" t="s">
        <v>760</v>
      </c>
      <c r="E449" s="4">
        <v>39.371241230000003</v>
      </c>
      <c r="F449" s="4">
        <v>1.4113755480000001</v>
      </c>
      <c r="G449" s="4">
        <v>26.03760746</v>
      </c>
      <c r="H449" s="2" t="s">
        <v>17</v>
      </c>
      <c r="I449" s="4">
        <v>85.474803420000001</v>
      </c>
      <c r="J449" s="4">
        <v>86.872673579999997</v>
      </c>
      <c r="K449" s="5">
        <v>27.347052430000002</v>
      </c>
      <c r="L449" s="3">
        <v>5</v>
      </c>
      <c r="M449" s="2" t="s">
        <v>764</v>
      </c>
      <c r="N449" s="2" t="s">
        <v>21</v>
      </c>
      <c r="O449" s="4">
        <v>0.34122247632098712</v>
      </c>
      <c r="P449" s="2" t="str">
        <f t="shared" si="6"/>
        <v>Low</v>
      </c>
    </row>
    <row r="450" spans="1:16" ht="20.100000000000001" customHeight="1" x14ac:dyDescent="0.3">
      <c r="A450" s="2" t="s">
        <v>312</v>
      </c>
      <c r="B450" s="2" t="s">
        <v>769</v>
      </c>
      <c r="C450" s="3">
        <v>100</v>
      </c>
      <c r="D450" s="2" t="s">
        <v>757</v>
      </c>
      <c r="E450" s="4">
        <v>49.897788409999997</v>
      </c>
      <c r="F450" s="4">
        <v>2.4015061649999998</v>
      </c>
      <c r="G450" s="4">
        <v>44.047481179999998</v>
      </c>
      <c r="H450" s="2" t="s">
        <v>17</v>
      </c>
      <c r="I450" s="4">
        <v>56.776136360000002</v>
      </c>
      <c r="J450" s="4">
        <v>72.152275380000006</v>
      </c>
      <c r="K450" s="5">
        <v>18.008274530000001</v>
      </c>
      <c r="L450" s="3">
        <v>2</v>
      </c>
      <c r="M450" s="2" t="s">
        <v>764</v>
      </c>
      <c r="N450" s="2" t="s">
        <v>18</v>
      </c>
      <c r="O450" s="4">
        <v>7.672353313827049</v>
      </c>
      <c r="P450" s="2" t="str">
        <f t="shared" si="6"/>
        <v>Acceptable</v>
      </c>
    </row>
    <row r="451" spans="1:16" ht="20.100000000000001" customHeight="1" x14ac:dyDescent="0.3">
      <c r="A451" s="2" t="s">
        <v>313</v>
      </c>
      <c r="B451" s="2" t="s">
        <v>769</v>
      </c>
      <c r="C451" s="3">
        <v>85</v>
      </c>
      <c r="D451" s="2" t="s">
        <v>758</v>
      </c>
      <c r="E451" s="4">
        <v>64.609831610000001</v>
      </c>
      <c r="F451" s="4">
        <v>1.226894334</v>
      </c>
      <c r="G451" s="4">
        <v>3.9913595509999999</v>
      </c>
      <c r="H451" s="2" t="s">
        <v>17</v>
      </c>
      <c r="I451" s="4">
        <v>21.982870370000001</v>
      </c>
      <c r="J451" s="4">
        <v>72.939843620000005</v>
      </c>
      <c r="K451" s="5">
        <v>17.109240530000001</v>
      </c>
      <c r="L451" s="3">
        <v>4</v>
      </c>
      <c r="M451" s="2" t="s">
        <v>762</v>
      </c>
      <c r="N451" s="2" t="s">
        <v>21</v>
      </c>
      <c r="O451" s="4">
        <v>27.984732418821086</v>
      </c>
      <c r="P451" s="2" t="str">
        <f t="shared" ref="P451:P514" si="7">IF(O451 &lt; 3, "Low", IF(O451 &lt; 10, "Acceptable", IF(O451 &lt; 20, "Superior", "Outstanding")))</f>
        <v>Outstanding</v>
      </c>
    </row>
    <row r="452" spans="1:16" ht="20.100000000000001" customHeight="1" x14ac:dyDescent="0.3">
      <c r="A452" s="2" t="s">
        <v>314</v>
      </c>
      <c r="B452" s="2" t="s">
        <v>769</v>
      </c>
      <c r="C452" s="3">
        <v>50</v>
      </c>
      <c r="D452" s="2" t="s">
        <v>761</v>
      </c>
      <c r="E452" s="4">
        <v>12.59488857</v>
      </c>
      <c r="F452" s="4">
        <v>3.4204799600000002</v>
      </c>
      <c r="G452" s="4">
        <v>13.286811650000001</v>
      </c>
      <c r="H452" s="2" t="s">
        <v>24</v>
      </c>
      <c r="I452" s="4">
        <v>70.246676769999993</v>
      </c>
      <c r="J452" s="4">
        <v>87.171804589999994</v>
      </c>
      <c r="K452" s="5">
        <v>34.247652639999998</v>
      </c>
      <c r="L452" s="3">
        <v>2</v>
      </c>
      <c r="M452" s="2" t="s">
        <v>764</v>
      </c>
      <c r="N452" s="2" t="s">
        <v>21</v>
      </c>
      <c r="O452" s="4">
        <v>1.0658504946295351</v>
      </c>
      <c r="P452" s="2" t="str">
        <f t="shared" si="7"/>
        <v>Low</v>
      </c>
    </row>
    <row r="453" spans="1:16" ht="20.100000000000001" customHeight="1" x14ac:dyDescent="0.3">
      <c r="A453" s="2" t="s">
        <v>315</v>
      </c>
      <c r="B453" s="2" t="s">
        <v>770</v>
      </c>
      <c r="C453" s="3">
        <v>85</v>
      </c>
      <c r="D453" s="2" t="s">
        <v>757</v>
      </c>
      <c r="E453" s="4">
        <v>48.96111526</v>
      </c>
      <c r="F453" s="4">
        <v>2.9675701220000001</v>
      </c>
      <c r="G453" s="4">
        <v>28.599515190000002</v>
      </c>
      <c r="H453" s="2" t="s">
        <v>14</v>
      </c>
      <c r="I453" s="4">
        <v>68.686463110000005</v>
      </c>
      <c r="J453" s="4">
        <v>85.614719379999997</v>
      </c>
      <c r="K453" s="5">
        <v>6.6590121499999997</v>
      </c>
      <c r="L453" s="3">
        <v>4</v>
      </c>
      <c r="M453" s="2" t="s">
        <v>763</v>
      </c>
      <c r="N453" s="2" t="s">
        <v>18</v>
      </c>
      <c r="O453" s="4">
        <v>7.0450236042834424</v>
      </c>
      <c r="P453" s="2" t="str">
        <f t="shared" si="7"/>
        <v>Acceptable</v>
      </c>
    </row>
    <row r="454" spans="1:16" ht="20.100000000000001" customHeight="1" x14ac:dyDescent="0.3">
      <c r="A454" s="2" t="s">
        <v>52</v>
      </c>
      <c r="B454" s="2" t="s">
        <v>770</v>
      </c>
      <c r="C454" s="3">
        <v>76.876100379999997</v>
      </c>
      <c r="D454" s="2" t="s">
        <v>760</v>
      </c>
      <c r="E454" s="4">
        <v>50.26893407</v>
      </c>
      <c r="F454" s="4">
        <v>1.6783584199999999</v>
      </c>
      <c r="G454" s="4">
        <v>36.303372349999997</v>
      </c>
      <c r="H454" s="2" t="s">
        <v>14</v>
      </c>
      <c r="I454" s="4">
        <v>13.48827069</v>
      </c>
      <c r="J454" s="4">
        <v>82.695211860000001</v>
      </c>
      <c r="K454" s="5">
        <v>3.042829341</v>
      </c>
      <c r="L454" s="3">
        <v>0</v>
      </c>
      <c r="M454" s="2" t="s">
        <v>764</v>
      </c>
      <c r="N454" s="2" t="s">
        <v>18</v>
      </c>
      <c r="O454" s="4">
        <v>26.744881382203058</v>
      </c>
      <c r="P454" s="2" t="str">
        <f t="shared" si="7"/>
        <v>Outstanding</v>
      </c>
    </row>
    <row r="455" spans="1:16" ht="20.100000000000001" customHeight="1" x14ac:dyDescent="0.3">
      <c r="A455" s="2" t="s">
        <v>316</v>
      </c>
      <c r="B455" s="2" t="s">
        <v>770</v>
      </c>
      <c r="C455" s="3">
        <v>50</v>
      </c>
      <c r="D455" s="2" t="s">
        <v>760</v>
      </c>
      <c r="E455" s="4">
        <v>52.556895879999999</v>
      </c>
      <c r="F455" s="4">
        <v>1.0389579659999999</v>
      </c>
      <c r="G455" s="4">
        <v>37.502387740000003</v>
      </c>
      <c r="H455" s="2" t="s">
        <v>24</v>
      </c>
      <c r="I455" s="4">
        <v>71.546447110000003</v>
      </c>
      <c r="J455" s="4">
        <v>74.064680150000001</v>
      </c>
      <c r="K455" s="5">
        <v>31.528776100000002</v>
      </c>
      <c r="L455" s="3">
        <v>1</v>
      </c>
      <c r="M455" s="2" t="s">
        <v>763</v>
      </c>
      <c r="N455" s="2" t="s">
        <v>15</v>
      </c>
      <c r="O455" s="4">
        <v>0.66175255842427883</v>
      </c>
      <c r="P455" s="2" t="str">
        <f t="shared" si="7"/>
        <v>Low</v>
      </c>
    </row>
    <row r="456" spans="1:16" ht="20.100000000000001" customHeight="1" x14ac:dyDescent="0.3">
      <c r="A456" s="2" t="s">
        <v>317</v>
      </c>
      <c r="B456" s="2" t="s">
        <v>770</v>
      </c>
      <c r="C456" s="3">
        <v>62</v>
      </c>
      <c r="D456" s="2" t="s">
        <v>761</v>
      </c>
      <c r="E456" s="4">
        <v>37.230275669999997</v>
      </c>
      <c r="F456" s="4">
        <v>1.315829248</v>
      </c>
      <c r="G456" s="4">
        <v>4.3026358260000004</v>
      </c>
      <c r="H456" s="2" t="s">
        <v>24</v>
      </c>
      <c r="I456" s="4">
        <v>66.894430810000003</v>
      </c>
      <c r="J456" s="4">
        <v>90.572260499999999</v>
      </c>
      <c r="K456" s="5">
        <v>9.7148108999999998</v>
      </c>
      <c r="L456" s="3">
        <v>6</v>
      </c>
      <c r="M456" s="2" t="s">
        <v>762</v>
      </c>
      <c r="N456" s="2" t="s">
        <v>15</v>
      </c>
      <c r="O456" s="4">
        <v>5.4654991850812644</v>
      </c>
      <c r="P456" s="2" t="str">
        <f t="shared" si="7"/>
        <v>Acceptable</v>
      </c>
    </row>
    <row r="457" spans="1:16" ht="20.100000000000001" customHeight="1" x14ac:dyDescent="0.3">
      <c r="A457" s="2" t="s">
        <v>318</v>
      </c>
      <c r="B457" s="2" t="s">
        <v>768</v>
      </c>
      <c r="C457" s="3">
        <v>85</v>
      </c>
      <c r="D457" s="2" t="s">
        <v>759</v>
      </c>
      <c r="E457" s="4">
        <v>28.079314199999999</v>
      </c>
      <c r="F457" s="4">
        <v>0.85194934</v>
      </c>
      <c r="G457" s="4">
        <v>25.576110369999999</v>
      </c>
      <c r="H457" s="2" t="s">
        <v>17</v>
      </c>
      <c r="I457" s="4">
        <v>25.388197819999998</v>
      </c>
      <c r="J457" s="4">
        <v>91.346107649999993</v>
      </c>
      <c r="K457" s="5">
        <v>27.956887340000002</v>
      </c>
      <c r="L457" s="3">
        <v>5</v>
      </c>
      <c r="M457" s="2" t="s">
        <v>762</v>
      </c>
      <c r="N457" s="2" t="s">
        <v>21</v>
      </c>
      <c r="O457" s="4">
        <v>15.742449429780628</v>
      </c>
      <c r="P457" s="2" t="str">
        <f t="shared" si="7"/>
        <v>Superior</v>
      </c>
    </row>
    <row r="458" spans="1:16" ht="20.100000000000001" customHeight="1" x14ac:dyDescent="0.3">
      <c r="A458" s="2" t="s">
        <v>319</v>
      </c>
      <c r="B458" s="2" t="s">
        <v>771</v>
      </c>
      <c r="C458" s="3">
        <v>75</v>
      </c>
      <c r="D458" s="2" t="s">
        <v>758</v>
      </c>
      <c r="E458" s="4">
        <v>66.851092940000001</v>
      </c>
      <c r="F458" s="4">
        <v>2.5875618710000001</v>
      </c>
      <c r="G458" s="4">
        <v>20.271139389999998</v>
      </c>
      <c r="H458" s="2" t="s">
        <v>14</v>
      </c>
      <c r="I458" s="4">
        <v>24.351228209999999</v>
      </c>
      <c r="J458" s="4">
        <v>61.214351819999997</v>
      </c>
      <c r="K458" s="5">
        <v>35.225496990000003</v>
      </c>
      <c r="L458" s="3">
        <v>4</v>
      </c>
      <c r="M458" s="2" t="s">
        <v>764</v>
      </c>
      <c r="N458" s="2" t="s">
        <v>21</v>
      </c>
      <c r="O458" s="4">
        <v>18.482550768831139</v>
      </c>
      <c r="P458" s="2" t="str">
        <f t="shared" si="7"/>
        <v>Superior</v>
      </c>
    </row>
    <row r="459" spans="1:16" ht="20.100000000000001" customHeight="1" x14ac:dyDescent="0.3">
      <c r="A459" s="2" t="s">
        <v>320</v>
      </c>
      <c r="B459" s="2" t="s">
        <v>22</v>
      </c>
      <c r="C459" s="3">
        <v>62</v>
      </c>
      <c r="D459" s="2" t="s">
        <v>758</v>
      </c>
      <c r="E459" s="4">
        <v>32.34799933</v>
      </c>
      <c r="F459" s="4">
        <v>3.9146817970000001</v>
      </c>
      <c r="G459" s="4">
        <v>15.17023592</v>
      </c>
      <c r="H459" s="2" t="s">
        <v>17</v>
      </c>
      <c r="I459" s="4">
        <v>71.051736809999994</v>
      </c>
      <c r="J459" s="4">
        <v>83.00801294</v>
      </c>
      <c r="K459" s="5">
        <v>11.65767977</v>
      </c>
      <c r="L459" s="3">
        <v>1</v>
      </c>
      <c r="M459" s="2" t="s">
        <v>764</v>
      </c>
      <c r="N459" s="2" t="s">
        <v>18</v>
      </c>
      <c r="O459" s="4">
        <v>2.3979219959037179</v>
      </c>
      <c r="P459" s="2" t="str">
        <f t="shared" si="7"/>
        <v>Low</v>
      </c>
    </row>
    <row r="460" spans="1:16" ht="20.100000000000001" customHeight="1" x14ac:dyDescent="0.3">
      <c r="A460" s="2" t="s">
        <v>321</v>
      </c>
      <c r="B460" s="2" t="s">
        <v>771</v>
      </c>
      <c r="C460" s="3">
        <v>91.28885271</v>
      </c>
      <c r="D460" s="2" t="s">
        <v>761</v>
      </c>
      <c r="E460" s="4">
        <v>8.3836908950000009</v>
      </c>
      <c r="F460" s="4">
        <v>2.0002674429999998</v>
      </c>
      <c r="G460" s="4">
        <v>40.177884769999999</v>
      </c>
      <c r="H460" s="2" t="s">
        <v>17</v>
      </c>
      <c r="I460" s="4">
        <v>75.617695819999994</v>
      </c>
      <c r="J460" s="4">
        <v>76.105222650000002</v>
      </c>
      <c r="K460" s="5">
        <v>18.406878989999999</v>
      </c>
      <c r="L460" s="3">
        <v>3</v>
      </c>
      <c r="M460" s="2" t="s">
        <v>762</v>
      </c>
      <c r="N460" s="2" t="s">
        <v>18</v>
      </c>
      <c r="O460" s="4">
        <v>3.7312257660466898E-2</v>
      </c>
      <c r="P460" s="2" t="str">
        <f t="shared" si="7"/>
        <v>Low</v>
      </c>
    </row>
    <row r="461" spans="1:16" ht="20.100000000000001" customHeight="1" x14ac:dyDescent="0.3">
      <c r="A461" s="2" t="s">
        <v>53</v>
      </c>
      <c r="B461" s="2" t="s">
        <v>22</v>
      </c>
      <c r="C461" s="3">
        <v>62</v>
      </c>
      <c r="D461" s="2" t="s">
        <v>758</v>
      </c>
      <c r="E461" s="4">
        <v>77.863726760000006</v>
      </c>
      <c r="F461" s="4">
        <v>0.917902247</v>
      </c>
      <c r="G461" s="4">
        <v>47.154009799999997</v>
      </c>
      <c r="H461" s="2" t="s">
        <v>24</v>
      </c>
      <c r="I461" s="4">
        <v>56.917421760000003</v>
      </c>
      <c r="J461" s="4">
        <v>57.46568225</v>
      </c>
      <c r="K461" s="5">
        <v>38.466779449999997</v>
      </c>
      <c r="L461" s="3">
        <v>3</v>
      </c>
      <c r="M461" s="2" t="s">
        <v>764</v>
      </c>
      <c r="N461" s="2" t="s">
        <v>18</v>
      </c>
      <c r="O461" s="4">
        <v>0.2646755509173136</v>
      </c>
      <c r="P461" s="2" t="str">
        <f t="shared" si="7"/>
        <v>Low</v>
      </c>
    </row>
    <row r="462" spans="1:16" ht="20.100000000000001" customHeight="1" x14ac:dyDescent="0.3">
      <c r="A462" s="2" t="s">
        <v>322</v>
      </c>
      <c r="B462" s="2" t="s">
        <v>768</v>
      </c>
      <c r="C462" s="3">
        <v>100</v>
      </c>
      <c r="D462" s="2" t="s">
        <v>760</v>
      </c>
      <c r="E462" s="4">
        <v>73.315917859999999</v>
      </c>
      <c r="F462" s="4">
        <v>2.8969906769999998</v>
      </c>
      <c r="G462" s="4">
        <v>23.97348714</v>
      </c>
      <c r="H462" s="2" t="s">
        <v>17</v>
      </c>
      <c r="I462" s="4">
        <v>18.390151070000002</v>
      </c>
      <c r="J462" s="4">
        <v>80.425686690000006</v>
      </c>
      <c r="K462" s="5">
        <v>17.738683089999999</v>
      </c>
      <c r="L462" s="3">
        <v>1</v>
      </c>
      <c r="M462" s="2" t="s">
        <v>763</v>
      </c>
      <c r="N462" s="2" t="s">
        <v>18</v>
      </c>
      <c r="O462" s="4">
        <v>45.481922339170239</v>
      </c>
      <c r="P462" s="2" t="str">
        <f t="shared" si="7"/>
        <v>Outstanding</v>
      </c>
    </row>
    <row r="463" spans="1:16" ht="20.100000000000001" customHeight="1" x14ac:dyDescent="0.3">
      <c r="A463" s="2" t="s">
        <v>323</v>
      </c>
      <c r="B463" s="2" t="s">
        <v>768</v>
      </c>
      <c r="C463" s="3">
        <v>50</v>
      </c>
      <c r="D463" s="2" t="s">
        <v>761</v>
      </c>
      <c r="E463" s="4">
        <v>62.867857950000001</v>
      </c>
      <c r="F463" s="4">
        <v>2.923176577</v>
      </c>
      <c r="G463" s="4">
        <v>15.49002761</v>
      </c>
      <c r="H463" s="2" t="s">
        <v>17</v>
      </c>
      <c r="I463" s="4">
        <v>33.809680159999999</v>
      </c>
      <c r="J463" s="4">
        <v>61.335867290000003</v>
      </c>
      <c r="K463" s="5">
        <v>1.9017388289999999</v>
      </c>
      <c r="L463" s="3">
        <v>4</v>
      </c>
      <c r="M463" s="2" t="s">
        <v>762</v>
      </c>
      <c r="N463" s="2" t="s">
        <v>18</v>
      </c>
      <c r="O463" s="4">
        <v>8.6525621119697913</v>
      </c>
      <c r="P463" s="2" t="str">
        <f t="shared" si="7"/>
        <v>Acceptable</v>
      </c>
    </row>
    <row r="464" spans="1:16" ht="20.100000000000001" customHeight="1" x14ac:dyDescent="0.3">
      <c r="A464" s="2" t="s">
        <v>324</v>
      </c>
      <c r="B464" s="2" t="s">
        <v>769</v>
      </c>
      <c r="C464" s="3">
        <v>100</v>
      </c>
      <c r="D464" s="2" t="s">
        <v>759</v>
      </c>
      <c r="E464" s="4">
        <v>14.355208490000001</v>
      </c>
      <c r="F464" s="4">
        <v>1.7662988799999999</v>
      </c>
      <c r="G464" s="4">
        <v>47.80486646</v>
      </c>
      <c r="H464" s="2" t="s">
        <v>14</v>
      </c>
      <c r="I464" s="4">
        <v>13.134702559999999</v>
      </c>
      <c r="J464" s="4">
        <v>53.730660450000002</v>
      </c>
      <c r="K464" s="5">
        <v>21.976294159999998</v>
      </c>
      <c r="L464" s="3">
        <v>2</v>
      </c>
      <c r="M464" s="2" t="s">
        <v>762</v>
      </c>
      <c r="N464" s="2" t="s">
        <v>21</v>
      </c>
      <c r="O464" s="4">
        <v>5.8276343936221053</v>
      </c>
      <c r="P464" s="2" t="str">
        <f t="shared" si="7"/>
        <v>Acceptable</v>
      </c>
    </row>
    <row r="465" spans="1:16" ht="20.100000000000001" customHeight="1" x14ac:dyDescent="0.3">
      <c r="A465" s="2" t="s">
        <v>325</v>
      </c>
      <c r="B465" s="2" t="s">
        <v>770</v>
      </c>
      <c r="C465" s="3">
        <v>85</v>
      </c>
      <c r="D465" s="2" t="s">
        <v>760</v>
      </c>
      <c r="E465" s="4">
        <v>74.789695080000001</v>
      </c>
      <c r="F465" s="4">
        <v>1.879862312</v>
      </c>
      <c r="G465" s="4">
        <v>21.108371720000001</v>
      </c>
      <c r="H465" s="2" t="s">
        <v>17</v>
      </c>
      <c r="I465" s="4">
        <v>16.306239770000001</v>
      </c>
      <c r="J465" s="4">
        <v>69.887092839999994</v>
      </c>
      <c r="K465" s="5">
        <v>32.745897569999997</v>
      </c>
      <c r="L465" s="3">
        <v>3</v>
      </c>
      <c r="M465" s="2" t="s">
        <v>762</v>
      </c>
      <c r="N465" s="2" t="s">
        <v>21</v>
      </c>
      <c r="O465" s="4">
        <v>34.062013137468441</v>
      </c>
      <c r="P465" s="2" t="str">
        <f t="shared" si="7"/>
        <v>Outstanding</v>
      </c>
    </row>
    <row r="466" spans="1:16" ht="20.100000000000001" customHeight="1" x14ac:dyDescent="0.3">
      <c r="A466" s="2" t="s">
        <v>326</v>
      </c>
      <c r="B466" s="2" t="s">
        <v>770</v>
      </c>
      <c r="C466" s="3">
        <v>75</v>
      </c>
      <c r="D466" s="2" t="s">
        <v>761</v>
      </c>
      <c r="E466" s="4">
        <v>41.980753229999998</v>
      </c>
      <c r="F466" s="4">
        <v>1.732135443</v>
      </c>
      <c r="G466" s="4">
        <v>14.09085874</v>
      </c>
      <c r="H466" s="2" t="s">
        <v>14</v>
      </c>
      <c r="I466" s="4">
        <v>14.258182789999999</v>
      </c>
      <c r="J466" s="4">
        <v>60.364165290000003</v>
      </c>
      <c r="K466" s="5">
        <v>15.61752057</v>
      </c>
      <c r="L466" s="3">
        <v>4.8149702029999997</v>
      </c>
      <c r="M466" s="2" t="s">
        <v>764</v>
      </c>
      <c r="N466" s="2" t="s">
        <v>18</v>
      </c>
      <c r="O466" s="4">
        <v>14.516729053193988</v>
      </c>
      <c r="P466" s="2" t="str">
        <f t="shared" si="7"/>
        <v>Superior</v>
      </c>
    </row>
    <row r="467" spans="1:16" ht="20.100000000000001" customHeight="1" x14ac:dyDescent="0.3">
      <c r="A467" s="2" t="s">
        <v>327</v>
      </c>
      <c r="B467" s="2" t="s">
        <v>771</v>
      </c>
      <c r="C467" s="3">
        <v>91.775530279999998</v>
      </c>
      <c r="D467" s="2" t="s">
        <v>759</v>
      </c>
      <c r="E467" s="4">
        <v>66.823121159999999</v>
      </c>
      <c r="F467" s="4">
        <v>2.9859549699999999</v>
      </c>
      <c r="G467" s="4">
        <v>11.896273280000001</v>
      </c>
      <c r="H467" s="2" t="s">
        <v>14</v>
      </c>
      <c r="I467" s="4">
        <v>76.658176659999995</v>
      </c>
      <c r="J467" s="4">
        <v>84.902302109999994</v>
      </c>
      <c r="K467" s="5">
        <v>36.041959300000002</v>
      </c>
      <c r="L467" s="3">
        <v>5</v>
      </c>
      <c r="M467" s="2" t="s">
        <v>762</v>
      </c>
      <c r="N467" s="2" t="s">
        <v>15</v>
      </c>
      <c r="O467" s="4">
        <v>5.0558973866618633</v>
      </c>
      <c r="P467" s="2" t="str">
        <f t="shared" si="7"/>
        <v>Acceptable</v>
      </c>
    </row>
    <row r="468" spans="1:16" ht="20.100000000000001" customHeight="1" x14ac:dyDescent="0.3">
      <c r="A468" s="2" t="s">
        <v>328</v>
      </c>
      <c r="B468" s="2" t="s">
        <v>769</v>
      </c>
      <c r="C468" s="3">
        <v>50</v>
      </c>
      <c r="D468" s="2" t="s">
        <v>759</v>
      </c>
      <c r="E468" s="4">
        <v>47.188408940000002</v>
      </c>
      <c r="F468" s="4">
        <v>3.3301281120000001</v>
      </c>
      <c r="G468" s="4">
        <v>5.340049724</v>
      </c>
      <c r="H468" s="2" t="s">
        <v>14</v>
      </c>
      <c r="I468" s="4">
        <v>17.564878019999998</v>
      </c>
      <c r="J468" s="4">
        <v>54.490947009999999</v>
      </c>
      <c r="K468" s="5">
        <v>5.1072306420000002</v>
      </c>
      <c r="L468" s="3">
        <v>3</v>
      </c>
      <c r="M468" s="2" t="s">
        <v>762</v>
      </c>
      <c r="N468" s="2" t="s">
        <v>21</v>
      </c>
      <c r="O468" s="4">
        <v>8.7124122202338654</v>
      </c>
      <c r="P468" s="2" t="str">
        <f t="shared" si="7"/>
        <v>Acceptable</v>
      </c>
    </row>
    <row r="469" spans="1:16" ht="20.100000000000001" customHeight="1" x14ac:dyDescent="0.3">
      <c r="A469" s="2" t="s">
        <v>329</v>
      </c>
      <c r="B469" s="2" t="s">
        <v>768</v>
      </c>
      <c r="C469" s="3">
        <v>100</v>
      </c>
      <c r="D469" s="2" t="s">
        <v>761</v>
      </c>
      <c r="E469" s="4">
        <v>46.29599735</v>
      </c>
      <c r="F469" s="4">
        <v>2.1538572239999998</v>
      </c>
      <c r="G469" s="4">
        <v>10.60040169</v>
      </c>
      <c r="H469" s="2" t="s">
        <v>17</v>
      </c>
      <c r="I469" s="4">
        <v>72.226029159999996</v>
      </c>
      <c r="J469" s="4">
        <v>84.035606029999997</v>
      </c>
      <c r="K469" s="5">
        <v>9.8932065100000006</v>
      </c>
      <c r="L469" s="3">
        <v>6.8179706649999998</v>
      </c>
      <c r="M469" s="2" t="s">
        <v>763</v>
      </c>
      <c r="N469" s="2" t="s">
        <v>18</v>
      </c>
      <c r="O469" s="4">
        <v>5.4673613947814133</v>
      </c>
      <c r="P469" s="2" t="str">
        <f t="shared" si="7"/>
        <v>Acceptable</v>
      </c>
    </row>
    <row r="470" spans="1:16" ht="20.100000000000001" customHeight="1" x14ac:dyDescent="0.3">
      <c r="A470" s="2" t="s">
        <v>330</v>
      </c>
      <c r="B470" s="2" t="s">
        <v>770</v>
      </c>
      <c r="C470" s="3">
        <v>75</v>
      </c>
      <c r="D470" s="2" t="s">
        <v>759</v>
      </c>
      <c r="E470" s="4">
        <v>37.108517730000003</v>
      </c>
      <c r="F470" s="4">
        <v>2.9383941170000001</v>
      </c>
      <c r="G470" s="4">
        <v>20.08030772</v>
      </c>
      <c r="H470" s="2" t="s">
        <v>14</v>
      </c>
      <c r="I470" s="4">
        <v>33.299940360000001</v>
      </c>
      <c r="J470" s="4">
        <v>58.815738709999998</v>
      </c>
      <c r="K470" s="5">
        <v>15.64867364</v>
      </c>
      <c r="L470" s="3">
        <v>1.896445307</v>
      </c>
      <c r="M470" s="2" t="s">
        <v>763</v>
      </c>
      <c r="N470" s="2" t="s">
        <v>21</v>
      </c>
      <c r="O470" s="4">
        <v>7.1014009159955984</v>
      </c>
      <c r="P470" s="2" t="str">
        <f t="shared" si="7"/>
        <v>Acceptable</v>
      </c>
    </row>
    <row r="471" spans="1:16" ht="20.100000000000001" customHeight="1" x14ac:dyDescent="0.3">
      <c r="A471" s="2" t="s">
        <v>331</v>
      </c>
      <c r="B471" s="2" t="s">
        <v>768</v>
      </c>
      <c r="C471" s="3">
        <v>62</v>
      </c>
      <c r="D471" s="2" t="s">
        <v>758</v>
      </c>
      <c r="E471" s="4">
        <v>71.975102179999993</v>
      </c>
      <c r="F471" s="4">
        <v>1.057536324</v>
      </c>
      <c r="G471" s="4">
        <v>23.650025209999999</v>
      </c>
      <c r="H471" s="2" t="s">
        <v>17</v>
      </c>
      <c r="I471" s="4">
        <v>63.103754709999997</v>
      </c>
      <c r="J471" s="4">
        <v>63.99918589</v>
      </c>
      <c r="K471" s="5">
        <v>21.52620216</v>
      </c>
      <c r="L471" s="3">
        <v>5</v>
      </c>
      <c r="M471" s="2" t="s">
        <v>763</v>
      </c>
      <c r="N471" s="2" t="s">
        <v>15</v>
      </c>
      <c r="O471" s="4">
        <v>0.39958225418908067</v>
      </c>
      <c r="P471" s="2" t="str">
        <f t="shared" si="7"/>
        <v>Low</v>
      </c>
    </row>
    <row r="472" spans="1:16" ht="20.100000000000001" customHeight="1" x14ac:dyDescent="0.3">
      <c r="A472" s="2" t="s">
        <v>332</v>
      </c>
      <c r="B472" s="2" t="s">
        <v>770</v>
      </c>
      <c r="C472" s="3">
        <v>85</v>
      </c>
      <c r="D472" s="2" t="s">
        <v>760</v>
      </c>
      <c r="E472" s="4">
        <v>23.920921969999998</v>
      </c>
      <c r="F472" s="4">
        <v>2.1458063539999999</v>
      </c>
      <c r="G472" s="4">
        <v>25.7966029</v>
      </c>
      <c r="H472" s="2" t="s">
        <v>24</v>
      </c>
      <c r="I472" s="4">
        <v>86.844118620000003</v>
      </c>
      <c r="J472" s="4">
        <v>89.247460939999996</v>
      </c>
      <c r="K472" s="5">
        <v>22.170226469999999</v>
      </c>
      <c r="L472" s="3">
        <v>4.4157740089999997</v>
      </c>
      <c r="M472" s="2" t="s">
        <v>763</v>
      </c>
      <c r="N472" s="2" t="s">
        <v>15</v>
      </c>
      <c r="O472" s="4">
        <v>0.4886663948833081</v>
      </c>
      <c r="P472" s="2" t="str">
        <f t="shared" si="7"/>
        <v>Low</v>
      </c>
    </row>
    <row r="473" spans="1:16" ht="20.100000000000001" customHeight="1" x14ac:dyDescent="0.3">
      <c r="A473" s="2" t="s">
        <v>333</v>
      </c>
      <c r="B473" s="2" t="s">
        <v>769</v>
      </c>
      <c r="C473" s="3">
        <v>85</v>
      </c>
      <c r="D473" s="2" t="s">
        <v>760</v>
      </c>
      <c r="E473" s="4">
        <v>40.630923500000002</v>
      </c>
      <c r="F473" s="4">
        <v>2.7497394119999998</v>
      </c>
      <c r="G473" s="4">
        <v>25.767194140000001</v>
      </c>
      <c r="H473" s="2" t="s">
        <v>24</v>
      </c>
      <c r="I473" s="4">
        <v>31.278431309999998</v>
      </c>
      <c r="J473" s="4">
        <v>70.895894299999995</v>
      </c>
      <c r="K473" s="5">
        <v>17.414579079999999</v>
      </c>
      <c r="L473" s="3">
        <v>4</v>
      </c>
      <c r="M473" s="2" t="s">
        <v>762</v>
      </c>
      <c r="N473" s="2" t="s">
        <v>21</v>
      </c>
      <c r="O473" s="4">
        <v>13.682399918091551</v>
      </c>
      <c r="P473" s="2" t="str">
        <f t="shared" si="7"/>
        <v>Superior</v>
      </c>
    </row>
    <row r="474" spans="1:16" ht="20.100000000000001" customHeight="1" x14ac:dyDescent="0.3">
      <c r="A474" s="2" t="s">
        <v>334</v>
      </c>
      <c r="B474" s="2" t="s">
        <v>22</v>
      </c>
      <c r="C474" s="3">
        <v>62</v>
      </c>
      <c r="D474" s="2" t="s">
        <v>758</v>
      </c>
      <c r="E474" s="4">
        <v>75.407009540000004</v>
      </c>
      <c r="F474" s="4">
        <v>3.1544865400000002</v>
      </c>
      <c r="G474" s="4">
        <v>17.729708720000001</v>
      </c>
      <c r="H474" s="2" t="s">
        <v>14</v>
      </c>
      <c r="I474" s="4">
        <v>32.029657929999999</v>
      </c>
      <c r="J474" s="4">
        <v>101.6052792</v>
      </c>
      <c r="K474" s="5">
        <v>12.457057799999999</v>
      </c>
      <c r="L474" s="3">
        <v>0</v>
      </c>
      <c r="M474" s="2" t="s">
        <v>763</v>
      </c>
      <c r="N474" s="2" t="s">
        <v>15</v>
      </c>
      <c r="O474" s="4">
        <v>32.528235128521565</v>
      </c>
      <c r="P474" s="2" t="str">
        <f t="shared" si="7"/>
        <v>Outstanding</v>
      </c>
    </row>
    <row r="475" spans="1:16" ht="20.100000000000001" customHeight="1" x14ac:dyDescent="0.3">
      <c r="A475" s="2" t="s">
        <v>335</v>
      </c>
      <c r="B475" s="2" t="s">
        <v>769</v>
      </c>
      <c r="C475" s="3">
        <v>75</v>
      </c>
      <c r="D475" s="2" t="s">
        <v>759</v>
      </c>
      <c r="E475" s="4">
        <v>36.490277880000001</v>
      </c>
      <c r="F475" s="4">
        <v>0.70475431499999996</v>
      </c>
      <c r="G475" s="4">
        <v>5.9493017640000003</v>
      </c>
      <c r="H475" s="2" t="s">
        <v>28</v>
      </c>
      <c r="I475" s="4">
        <v>64.228094740000003</v>
      </c>
      <c r="J475" s="4">
        <v>76.172904189999997</v>
      </c>
      <c r="K475" s="5">
        <v>36.048623460000002</v>
      </c>
      <c r="L475" s="3">
        <v>2</v>
      </c>
      <c r="M475" s="2" t="s">
        <v>763</v>
      </c>
      <c r="N475" s="2" t="s">
        <v>21</v>
      </c>
      <c r="O475" s="4">
        <v>3.2690206204061227</v>
      </c>
      <c r="P475" s="2" t="str">
        <f t="shared" si="7"/>
        <v>Acceptable</v>
      </c>
    </row>
    <row r="476" spans="1:16" ht="20.100000000000001" customHeight="1" x14ac:dyDescent="0.3">
      <c r="A476" s="2" t="s">
        <v>336</v>
      </c>
      <c r="B476" s="2" t="s">
        <v>769</v>
      </c>
      <c r="C476" s="3">
        <v>85</v>
      </c>
      <c r="D476" s="2" t="s">
        <v>759</v>
      </c>
      <c r="E476" s="4">
        <v>67.560142880000001</v>
      </c>
      <c r="F476" s="4">
        <v>2.8112366500000001</v>
      </c>
      <c r="G476" s="4">
        <v>8.9705495929999994</v>
      </c>
      <c r="H476" s="2" t="s">
        <v>24</v>
      </c>
      <c r="I476" s="4">
        <v>69.314697570000007</v>
      </c>
      <c r="J476" s="4">
        <v>96.936645400000003</v>
      </c>
      <c r="K476" s="5">
        <v>35.818860229999999</v>
      </c>
      <c r="L476" s="3">
        <v>7</v>
      </c>
      <c r="M476" s="2" t="s">
        <v>764</v>
      </c>
      <c r="N476" s="2" t="s">
        <v>15</v>
      </c>
      <c r="O476" s="4">
        <v>15.862213307158999</v>
      </c>
      <c r="P476" s="2" t="str">
        <f t="shared" si="7"/>
        <v>Superior</v>
      </c>
    </row>
    <row r="477" spans="1:16" ht="20.100000000000001" customHeight="1" x14ac:dyDescent="0.3">
      <c r="A477" s="2" t="s">
        <v>337</v>
      </c>
      <c r="B477" s="2" t="s">
        <v>769</v>
      </c>
      <c r="C477" s="3">
        <v>85</v>
      </c>
      <c r="D477" s="2" t="s">
        <v>758</v>
      </c>
      <c r="E477" s="4">
        <v>28.279857150000002</v>
      </c>
      <c r="F477" s="4">
        <v>2.6937194089999998</v>
      </c>
      <c r="G477" s="4">
        <v>13.226974759999999</v>
      </c>
      <c r="H477" s="2" t="s">
        <v>14</v>
      </c>
      <c r="I477" s="4">
        <v>62.57412042</v>
      </c>
      <c r="J477" s="4">
        <v>88.358550530000002</v>
      </c>
      <c r="K477" s="5">
        <v>12.38716533</v>
      </c>
      <c r="L477" s="3">
        <v>0</v>
      </c>
      <c r="M477" s="2" t="s">
        <v>763</v>
      </c>
      <c r="N477" s="2" t="s">
        <v>15</v>
      </c>
      <c r="O477" s="4">
        <v>6.1980300017421497</v>
      </c>
      <c r="P477" s="2" t="str">
        <f t="shared" si="7"/>
        <v>Acceptable</v>
      </c>
    </row>
    <row r="478" spans="1:16" ht="20.100000000000001" customHeight="1" x14ac:dyDescent="0.3">
      <c r="A478" s="2" t="s">
        <v>54</v>
      </c>
      <c r="B478" s="2" t="s">
        <v>22</v>
      </c>
      <c r="C478" s="3">
        <v>100</v>
      </c>
      <c r="D478" s="2" t="s">
        <v>758</v>
      </c>
      <c r="E478" s="4">
        <v>71.280004160000004</v>
      </c>
      <c r="F478" s="4">
        <v>2.4137549370000002</v>
      </c>
      <c r="G478" s="4">
        <v>40.616399229999999</v>
      </c>
      <c r="H478" s="2" t="s">
        <v>14</v>
      </c>
      <c r="I478" s="4">
        <v>26.156597949999998</v>
      </c>
      <c r="J478" s="4">
        <v>89.924588529999994</v>
      </c>
      <c r="K478" s="5">
        <v>33.057730810000002</v>
      </c>
      <c r="L478" s="3">
        <v>5</v>
      </c>
      <c r="M478" s="2" t="s">
        <v>763</v>
      </c>
      <c r="N478" s="2" t="s">
        <v>18</v>
      </c>
      <c r="O478" s="4">
        <v>45.453826338172412</v>
      </c>
      <c r="P478" s="2" t="str">
        <f t="shared" si="7"/>
        <v>Outstanding</v>
      </c>
    </row>
    <row r="479" spans="1:16" ht="20.100000000000001" customHeight="1" x14ac:dyDescent="0.3">
      <c r="A479" s="2" t="s">
        <v>338</v>
      </c>
      <c r="B479" s="2" t="s">
        <v>769</v>
      </c>
      <c r="C479" s="3">
        <v>62</v>
      </c>
      <c r="D479" s="2" t="s">
        <v>760</v>
      </c>
      <c r="E479" s="4">
        <v>28.869124800000002</v>
      </c>
      <c r="F479" s="4">
        <v>1.1539207499999999</v>
      </c>
      <c r="G479" s="4">
        <v>32.83003789</v>
      </c>
      <c r="H479" s="2" t="s">
        <v>14</v>
      </c>
      <c r="I479" s="4">
        <v>81.272807740000005</v>
      </c>
      <c r="J479" s="4">
        <v>95.9717938</v>
      </c>
      <c r="K479" s="5">
        <v>30.897229939999999</v>
      </c>
      <c r="L479" s="3">
        <v>4</v>
      </c>
      <c r="M479" s="2" t="s">
        <v>764</v>
      </c>
      <c r="N479" s="2" t="s">
        <v>18</v>
      </c>
      <c r="O479" s="4">
        <v>2.6309505505975217</v>
      </c>
      <c r="P479" s="2" t="str">
        <f t="shared" si="7"/>
        <v>Low</v>
      </c>
    </row>
    <row r="480" spans="1:16" ht="20.100000000000001" customHeight="1" x14ac:dyDescent="0.3">
      <c r="A480" s="2" t="s">
        <v>339</v>
      </c>
      <c r="B480" s="2" t="s">
        <v>768</v>
      </c>
      <c r="C480" s="3">
        <v>62</v>
      </c>
      <c r="D480" s="2" t="s">
        <v>759</v>
      </c>
      <c r="E480" s="4">
        <v>26.29222408</v>
      </c>
      <c r="F480" s="4">
        <v>1.7788208109999999</v>
      </c>
      <c r="G480" s="4">
        <v>3.5933276319999998</v>
      </c>
      <c r="H480" s="2" t="s">
        <v>24</v>
      </c>
      <c r="I480" s="4">
        <v>40.476013819999999</v>
      </c>
      <c r="J480" s="4">
        <v>69.667977320000006</v>
      </c>
      <c r="K480" s="5">
        <v>32.060591850000002</v>
      </c>
      <c r="L480" s="3">
        <v>2</v>
      </c>
      <c r="M480" s="2" t="s">
        <v>763</v>
      </c>
      <c r="N480" s="2" t="s">
        <v>15</v>
      </c>
      <c r="O480" s="4">
        <v>4.7586342031985245</v>
      </c>
      <c r="P480" s="2" t="str">
        <f t="shared" si="7"/>
        <v>Acceptable</v>
      </c>
    </row>
    <row r="481" spans="1:16" ht="20.100000000000001" customHeight="1" x14ac:dyDescent="0.3">
      <c r="A481" s="2" t="s">
        <v>340</v>
      </c>
      <c r="B481" s="2" t="s">
        <v>771</v>
      </c>
      <c r="C481" s="3">
        <v>75</v>
      </c>
      <c r="D481" s="2" t="s">
        <v>761</v>
      </c>
      <c r="E481" s="4">
        <v>51.636842340000001</v>
      </c>
      <c r="F481" s="4">
        <v>0.78355212500000004</v>
      </c>
      <c r="G481" s="4">
        <v>14.6069844</v>
      </c>
      <c r="H481" s="2" t="s">
        <v>24</v>
      </c>
      <c r="I481" s="4">
        <v>32.409615729999999</v>
      </c>
      <c r="J481" s="4">
        <v>78.636159230000004</v>
      </c>
      <c r="K481" s="5">
        <v>31.302787519999999</v>
      </c>
      <c r="L481" s="3">
        <v>0</v>
      </c>
      <c r="M481" s="2" t="s">
        <v>762</v>
      </c>
      <c r="N481" s="2" t="s">
        <v>21</v>
      </c>
      <c r="O481" s="4">
        <v>17.902445539744892</v>
      </c>
      <c r="P481" s="2" t="str">
        <f t="shared" si="7"/>
        <v>Superior</v>
      </c>
    </row>
    <row r="482" spans="1:16" ht="20.100000000000001" customHeight="1" x14ac:dyDescent="0.3">
      <c r="A482" s="2" t="s">
        <v>341</v>
      </c>
      <c r="B482" s="2" t="s">
        <v>768</v>
      </c>
      <c r="C482" s="3">
        <v>50</v>
      </c>
      <c r="D482" s="2" t="s">
        <v>757</v>
      </c>
      <c r="E482" s="4">
        <v>19.362005740000001</v>
      </c>
      <c r="F482" s="4">
        <v>2.5362493420000001</v>
      </c>
      <c r="G482" s="4">
        <v>29.6262428</v>
      </c>
      <c r="H482" s="2" t="s">
        <v>28</v>
      </c>
      <c r="I482" s="4">
        <v>47.225237960000001</v>
      </c>
      <c r="J482" s="4">
        <v>83.91200044</v>
      </c>
      <c r="K482" s="5">
        <v>0.37465934000000001</v>
      </c>
      <c r="L482" s="3">
        <v>7</v>
      </c>
      <c r="M482" s="2" t="s">
        <v>764</v>
      </c>
      <c r="N482" s="2" t="s">
        <v>18</v>
      </c>
      <c r="O482" s="4">
        <v>3.5516465285988827</v>
      </c>
      <c r="P482" s="2" t="str">
        <f t="shared" si="7"/>
        <v>Acceptable</v>
      </c>
    </row>
    <row r="483" spans="1:16" ht="20.100000000000001" customHeight="1" x14ac:dyDescent="0.3">
      <c r="A483" s="2" t="s">
        <v>342</v>
      </c>
      <c r="B483" s="2" t="s">
        <v>770</v>
      </c>
      <c r="C483" s="3">
        <v>75</v>
      </c>
      <c r="D483" s="2" t="s">
        <v>757</v>
      </c>
      <c r="E483" s="4">
        <v>55.395791440000004</v>
      </c>
      <c r="F483" s="4">
        <v>2.253027296</v>
      </c>
      <c r="G483" s="4">
        <v>31.554096560000001</v>
      </c>
      <c r="H483" s="2" t="s">
        <v>24</v>
      </c>
      <c r="I483" s="4">
        <v>12.980576859999999</v>
      </c>
      <c r="J483" s="4">
        <v>61.218992710000002</v>
      </c>
      <c r="K483" s="5">
        <v>29.716280909999998</v>
      </c>
      <c r="L483" s="3">
        <v>6</v>
      </c>
      <c r="M483" s="2" t="s">
        <v>762</v>
      </c>
      <c r="N483" s="2" t="s">
        <v>15</v>
      </c>
      <c r="O483" s="4">
        <v>20.041539178669431</v>
      </c>
      <c r="P483" s="2" t="str">
        <f t="shared" si="7"/>
        <v>Outstanding</v>
      </c>
    </row>
    <row r="484" spans="1:16" ht="20.100000000000001" customHeight="1" x14ac:dyDescent="0.3">
      <c r="A484" s="2" t="s">
        <v>343</v>
      </c>
      <c r="B484" s="2" t="s">
        <v>22</v>
      </c>
      <c r="C484" s="3">
        <v>50</v>
      </c>
      <c r="D484" s="2" t="s">
        <v>758</v>
      </c>
      <c r="E484" s="4">
        <v>22.01644361</v>
      </c>
      <c r="F484" s="4">
        <v>1.2691575989999999</v>
      </c>
      <c r="G484" s="4">
        <v>41.196250640000002</v>
      </c>
      <c r="H484" s="2" t="s">
        <v>17</v>
      </c>
      <c r="I484" s="4">
        <v>23.665610919999999</v>
      </c>
      <c r="J484" s="4">
        <v>74.898729419999995</v>
      </c>
      <c r="K484" s="5">
        <v>11.544380930000001</v>
      </c>
      <c r="L484" s="3">
        <v>0</v>
      </c>
      <c r="M484" s="2" t="s">
        <v>762</v>
      </c>
      <c r="N484" s="2" t="s">
        <v>18</v>
      </c>
      <c r="O484" s="4">
        <v>5.6398553220984891</v>
      </c>
      <c r="P484" s="2" t="str">
        <f t="shared" si="7"/>
        <v>Acceptable</v>
      </c>
    </row>
    <row r="485" spans="1:16" ht="20.100000000000001" customHeight="1" x14ac:dyDescent="0.3">
      <c r="A485" s="2" t="s">
        <v>55</v>
      </c>
      <c r="B485" s="2" t="s">
        <v>22</v>
      </c>
      <c r="C485" s="3">
        <v>62</v>
      </c>
      <c r="D485" s="2" t="s">
        <v>758</v>
      </c>
      <c r="E485" s="4">
        <v>21.827688179999999</v>
      </c>
      <c r="F485" s="4">
        <v>2.0821000070000002</v>
      </c>
      <c r="G485" s="4">
        <v>26.50712322</v>
      </c>
      <c r="H485" s="2" t="s">
        <v>14</v>
      </c>
      <c r="I485" s="4">
        <v>33.255985090000003</v>
      </c>
      <c r="J485" s="4">
        <v>51.501132269999999</v>
      </c>
      <c r="K485" s="5">
        <v>38.656443959999997</v>
      </c>
      <c r="L485" s="3">
        <v>7</v>
      </c>
      <c r="M485" s="2" t="s">
        <v>762</v>
      </c>
      <c r="N485" s="2" t="s">
        <v>18</v>
      </c>
      <c r="O485" s="4">
        <v>2.4691461773481267</v>
      </c>
      <c r="P485" s="2" t="str">
        <f t="shared" si="7"/>
        <v>Low</v>
      </c>
    </row>
    <row r="486" spans="1:16" ht="20.100000000000001" customHeight="1" x14ac:dyDescent="0.3">
      <c r="A486" s="2" t="s">
        <v>344</v>
      </c>
      <c r="B486" s="2" t="s">
        <v>770</v>
      </c>
      <c r="C486" s="3">
        <v>75</v>
      </c>
      <c r="D486" s="2" t="s">
        <v>760</v>
      </c>
      <c r="E486" s="4">
        <v>67.381860560000007</v>
      </c>
      <c r="F486" s="4">
        <v>0.79921023099999999</v>
      </c>
      <c r="G486" s="4">
        <v>2.6369667899999998</v>
      </c>
      <c r="H486" s="2" t="s">
        <v>28</v>
      </c>
      <c r="I486" s="4">
        <v>12.05479002</v>
      </c>
      <c r="J486" s="4">
        <v>86.490246999999997</v>
      </c>
      <c r="K486" s="5">
        <v>5.8900560329999996</v>
      </c>
      <c r="L486" s="3">
        <v>2</v>
      </c>
      <c r="M486" s="2" t="s">
        <v>764</v>
      </c>
      <c r="N486" s="2" t="s">
        <v>15</v>
      </c>
      <c r="O486" s="4">
        <v>37.616996872096799</v>
      </c>
      <c r="P486" s="2" t="str">
        <f t="shared" si="7"/>
        <v>Outstanding</v>
      </c>
    </row>
    <row r="487" spans="1:16" ht="20.100000000000001" customHeight="1" x14ac:dyDescent="0.3">
      <c r="A487" s="2" t="s">
        <v>345</v>
      </c>
      <c r="B487" s="2" t="s">
        <v>770</v>
      </c>
      <c r="C487" s="3">
        <v>75</v>
      </c>
      <c r="D487" s="2" t="s">
        <v>761</v>
      </c>
      <c r="E487" s="4">
        <v>68.238344049999995</v>
      </c>
      <c r="F487" s="4">
        <v>2.7104371989999998</v>
      </c>
      <c r="G487" s="4">
        <v>8.9914991989999997</v>
      </c>
      <c r="H487" s="2" t="s">
        <v>14</v>
      </c>
      <c r="I487" s="4">
        <v>30.228181599999999</v>
      </c>
      <c r="J487" s="4">
        <v>80.043744599999997</v>
      </c>
      <c r="K487" s="5">
        <v>11.712169599999999</v>
      </c>
      <c r="L487" s="3">
        <v>7</v>
      </c>
      <c r="M487" s="2" t="s">
        <v>762</v>
      </c>
      <c r="N487" s="2" t="s">
        <v>21</v>
      </c>
      <c r="O487" s="4">
        <v>25.494986452788371</v>
      </c>
      <c r="P487" s="2" t="str">
        <f t="shared" si="7"/>
        <v>Outstanding</v>
      </c>
    </row>
    <row r="488" spans="1:16" ht="20.100000000000001" customHeight="1" x14ac:dyDescent="0.3">
      <c r="A488" s="2" t="s">
        <v>346</v>
      </c>
      <c r="B488" s="2" t="s">
        <v>770</v>
      </c>
      <c r="C488" s="3">
        <v>62</v>
      </c>
      <c r="D488" s="2" t="s">
        <v>759</v>
      </c>
      <c r="E488" s="4">
        <v>67.133340390000001</v>
      </c>
      <c r="F488" s="4">
        <v>1.234154803</v>
      </c>
      <c r="G488" s="4">
        <v>27.956715200000001</v>
      </c>
      <c r="H488" s="2" t="s">
        <v>14</v>
      </c>
      <c r="I488" s="4">
        <v>23.505947160000002</v>
      </c>
      <c r="J488" s="4">
        <v>76.146008449999997</v>
      </c>
      <c r="K488" s="5">
        <v>8.0875928370000008</v>
      </c>
      <c r="L488" s="3">
        <v>4</v>
      </c>
      <c r="M488" s="2" t="s">
        <v>762</v>
      </c>
      <c r="N488" s="2" t="s">
        <v>18</v>
      </c>
      <c r="O488" s="4">
        <v>21.910199546938596</v>
      </c>
      <c r="P488" s="2" t="str">
        <f t="shared" si="7"/>
        <v>Outstanding</v>
      </c>
    </row>
    <row r="489" spans="1:16" ht="20.100000000000001" customHeight="1" x14ac:dyDescent="0.3">
      <c r="A489" s="2" t="s">
        <v>347</v>
      </c>
      <c r="B489" s="2" t="s">
        <v>769</v>
      </c>
      <c r="C489" s="3">
        <v>75</v>
      </c>
      <c r="D489" s="2" t="s">
        <v>757</v>
      </c>
      <c r="E489" s="4">
        <v>42.918937339999999</v>
      </c>
      <c r="F489" s="4">
        <v>3.1653954180000001</v>
      </c>
      <c r="G489" s="4">
        <v>13.10448059</v>
      </c>
      <c r="H489" s="2" t="s">
        <v>17</v>
      </c>
      <c r="I489" s="4">
        <v>34.834639359999997</v>
      </c>
      <c r="J489" s="4">
        <v>97.251786749999994</v>
      </c>
      <c r="K489" s="5">
        <v>6.362088419</v>
      </c>
      <c r="L489" s="3">
        <v>5</v>
      </c>
      <c r="M489" s="2" t="s">
        <v>764</v>
      </c>
      <c r="N489" s="2" t="s">
        <v>18</v>
      </c>
      <c r="O489" s="4">
        <v>20.091582283297157</v>
      </c>
      <c r="P489" s="2" t="str">
        <f t="shared" si="7"/>
        <v>Outstanding</v>
      </c>
    </row>
    <row r="490" spans="1:16" ht="20.100000000000001" customHeight="1" x14ac:dyDescent="0.3">
      <c r="A490" s="2" t="s">
        <v>348</v>
      </c>
      <c r="B490" s="2" t="s">
        <v>770</v>
      </c>
      <c r="C490" s="3">
        <v>62</v>
      </c>
      <c r="D490" s="2" t="s">
        <v>757</v>
      </c>
      <c r="E490" s="4">
        <v>35.327332249999998</v>
      </c>
      <c r="F490" s="4">
        <v>1.4716437600000001</v>
      </c>
      <c r="G490" s="4">
        <v>44.67299946</v>
      </c>
      <c r="H490" s="2" t="s">
        <v>17</v>
      </c>
      <c r="I490" s="4">
        <v>51.417333300000003</v>
      </c>
      <c r="J490" s="4">
        <v>73.335294250000004</v>
      </c>
      <c r="K490" s="5">
        <v>29.212784490000001</v>
      </c>
      <c r="L490" s="3">
        <v>3</v>
      </c>
      <c r="M490" s="2" t="s">
        <v>764</v>
      </c>
      <c r="N490" s="2" t="s">
        <v>21</v>
      </c>
      <c r="O490" s="4">
        <v>4.8006791500836883</v>
      </c>
      <c r="P490" s="2" t="str">
        <f t="shared" si="7"/>
        <v>Acceptable</v>
      </c>
    </row>
    <row r="491" spans="1:16" ht="20.100000000000001" customHeight="1" x14ac:dyDescent="0.3">
      <c r="A491" s="2" t="s">
        <v>349</v>
      </c>
      <c r="B491" s="2" t="s">
        <v>771</v>
      </c>
      <c r="C491" s="3">
        <v>62</v>
      </c>
      <c r="D491" s="2" t="s">
        <v>757</v>
      </c>
      <c r="E491" s="4">
        <v>74.510503180000001</v>
      </c>
      <c r="F491" s="4">
        <v>1.5892187579999999</v>
      </c>
      <c r="G491" s="4">
        <v>7.9949116729999998</v>
      </c>
      <c r="H491" s="2" t="s">
        <v>17</v>
      </c>
      <c r="I491" s="4">
        <v>70.430503110000004</v>
      </c>
      <c r="J491" s="4">
        <v>95.659228130000002</v>
      </c>
      <c r="K491" s="5">
        <v>36.38338546</v>
      </c>
      <c r="L491" s="3">
        <v>1</v>
      </c>
      <c r="M491" s="2" t="s">
        <v>762</v>
      </c>
      <c r="N491" s="2" t="s">
        <v>18</v>
      </c>
      <c r="O491" s="4">
        <v>11.654790974146342</v>
      </c>
      <c r="P491" s="2" t="str">
        <f t="shared" si="7"/>
        <v>Superior</v>
      </c>
    </row>
    <row r="492" spans="1:16" ht="20.100000000000001" customHeight="1" x14ac:dyDescent="0.3">
      <c r="A492" s="2" t="s">
        <v>350</v>
      </c>
      <c r="B492" s="2" t="s">
        <v>768</v>
      </c>
      <c r="C492" s="3">
        <v>1.5365397430000001</v>
      </c>
      <c r="D492" s="2" t="s">
        <v>760</v>
      </c>
      <c r="E492" s="4">
        <v>23.522241810000001</v>
      </c>
      <c r="F492" s="4">
        <v>1.8443738510000001</v>
      </c>
      <c r="G492" s="4">
        <v>42.380271399999998</v>
      </c>
      <c r="H492" s="2" t="s">
        <v>17</v>
      </c>
      <c r="I492" s="4">
        <v>74.930825600000006</v>
      </c>
      <c r="J492" s="4">
        <v>96.896946990000004</v>
      </c>
      <c r="K492" s="5">
        <v>13.675135709999999</v>
      </c>
      <c r="L492" s="3">
        <v>5</v>
      </c>
      <c r="M492" s="2" t="s">
        <v>764</v>
      </c>
      <c r="N492" s="2" t="s">
        <v>21</v>
      </c>
      <c r="O492" s="4">
        <v>7.9391843664406062E-2</v>
      </c>
      <c r="P492" s="2" t="str">
        <f t="shared" si="7"/>
        <v>Low</v>
      </c>
    </row>
    <row r="493" spans="1:16" ht="20.100000000000001" customHeight="1" x14ac:dyDescent="0.3">
      <c r="A493" s="2" t="s">
        <v>351</v>
      </c>
      <c r="B493" s="2" t="s">
        <v>769</v>
      </c>
      <c r="C493" s="3">
        <v>121.2118924</v>
      </c>
      <c r="D493" s="2" t="s">
        <v>761</v>
      </c>
      <c r="E493" s="4">
        <v>66.705236450000001</v>
      </c>
      <c r="F493" s="4">
        <v>1.8952201719999999</v>
      </c>
      <c r="G493" s="4">
        <v>6.5136568930000003</v>
      </c>
      <c r="H493" s="2" t="s">
        <v>28</v>
      </c>
      <c r="I493" s="4">
        <v>56.717972179999997</v>
      </c>
      <c r="J493" s="4">
        <v>83.646181530000007</v>
      </c>
      <c r="K493" s="5">
        <v>32.847219809999999</v>
      </c>
      <c r="L493" s="3">
        <v>7</v>
      </c>
      <c r="M493" s="2" t="s">
        <v>763</v>
      </c>
      <c r="N493" s="2" t="s">
        <v>15</v>
      </c>
      <c r="O493" s="4">
        <v>21.772717346434806</v>
      </c>
      <c r="P493" s="2" t="str">
        <f t="shared" si="7"/>
        <v>Outstanding</v>
      </c>
    </row>
    <row r="494" spans="1:16" ht="20.100000000000001" customHeight="1" x14ac:dyDescent="0.3">
      <c r="A494" s="2" t="s">
        <v>352</v>
      </c>
      <c r="B494" s="2" t="s">
        <v>768</v>
      </c>
      <c r="C494" s="3">
        <v>50</v>
      </c>
      <c r="D494" s="2" t="s">
        <v>760</v>
      </c>
      <c r="E494" s="4">
        <v>43.5123471</v>
      </c>
      <c r="F494" s="4">
        <v>1.181219115</v>
      </c>
      <c r="G494" s="4">
        <v>26.135239810000002</v>
      </c>
      <c r="H494" s="2" t="s">
        <v>14</v>
      </c>
      <c r="I494" s="4">
        <v>17.36980865</v>
      </c>
      <c r="J494" s="4">
        <v>95.172164510000002</v>
      </c>
      <c r="K494" s="5">
        <v>21.07846133</v>
      </c>
      <c r="L494" s="3">
        <v>3</v>
      </c>
      <c r="M494" s="2" t="s">
        <v>764</v>
      </c>
      <c r="N494" s="2" t="s">
        <v>15</v>
      </c>
      <c r="O494" s="4">
        <v>16.926815566890195</v>
      </c>
      <c r="P494" s="2" t="str">
        <f t="shared" si="7"/>
        <v>Superior</v>
      </c>
    </row>
    <row r="495" spans="1:16" ht="20.100000000000001" customHeight="1" x14ac:dyDescent="0.3">
      <c r="A495" s="2" t="s">
        <v>353</v>
      </c>
      <c r="B495" s="2" t="s">
        <v>22</v>
      </c>
      <c r="C495" s="3">
        <v>75</v>
      </c>
      <c r="D495" s="2" t="s">
        <v>758</v>
      </c>
      <c r="E495" s="4">
        <v>38.598139410000002</v>
      </c>
      <c r="F495" s="4">
        <v>1.369419618</v>
      </c>
      <c r="G495" s="4">
        <v>26.562952200000002</v>
      </c>
      <c r="H495" s="2" t="s">
        <v>14</v>
      </c>
      <c r="I495" s="4">
        <v>37.927498530000001</v>
      </c>
      <c r="J495" s="4">
        <v>75.100943650000005</v>
      </c>
      <c r="K495" s="5">
        <v>6.16119138</v>
      </c>
      <c r="L495" s="3">
        <v>6</v>
      </c>
      <c r="M495" s="2" t="s">
        <v>763</v>
      </c>
      <c r="N495" s="2" t="s">
        <v>21</v>
      </c>
      <c r="O495" s="4">
        <v>10.761193628188085</v>
      </c>
      <c r="P495" s="2" t="str">
        <f t="shared" si="7"/>
        <v>Superior</v>
      </c>
    </row>
    <row r="496" spans="1:16" ht="20.100000000000001" customHeight="1" x14ac:dyDescent="0.3">
      <c r="A496" s="2" t="s">
        <v>56</v>
      </c>
      <c r="B496" s="2" t="s">
        <v>769</v>
      </c>
      <c r="C496" s="3">
        <v>124.3159114</v>
      </c>
      <c r="D496" s="2" t="s">
        <v>758</v>
      </c>
      <c r="E496" s="4">
        <v>46.195137000000003</v>
      </c>
      <c r="F496" s="4">
        <v>0.650507579</v>
      </c>
      <c r="G496" s="4">
        <v>47.87752356</v>
      </c>
      <c r="H496" s="2" t="s">
        <v>24</v>
      </c>
      <c r="I496" s="4">
        <v>53.005185330000003</v>
      </c>
      <c r="J496" s="4">
        <v>59.901646270000001</v>
      </c>
      <c r="K496" s="5">
        <v>6.1712567089999997</v>
      </c>
      <c r="L496" s="3">
        <v>1</v>
      </c>
      <c r="M496" s="2" t="s">
        <v>763</v>
      </c>
      <c r="N496" s="2" t="s">
        <v>15</v>
      </c>
      <c r="O496" s="4">
        <v>3.9604930772626115</v>
      </c>
      <c r="P496" s="2" t="str">
        <f t="shared" si="7"/>
        <v>Acceptable</v>
      </c>
    </row>
    <row r="497" spans="1:16" ht="20.100000000000001" customHeight="1" x14ac:dyDescent="0.3">
      <c r="A497" s="2" t="s">
        <v>354</v>
      </c>
      <c r="B497" s="2" t="s">
        <v>768</v>
      </c>
      <c r="C497" s="3">
        <v>85</v>
      </c>
      <c r="D497" s="2" t="s">
        <v>757</v>
      </c>
      <c r="E497" s="4">
        <v>58.77314552</v>
      </c>
      <c r="F497" s="4">
        <v>2.7465558809999999</v>
      </c>
      <c r="G497" s="4">
        <v>12.80228934</v>
      </c>
      <c r="H497" s="2" t="s">
        <v>28</v>
      </c>
      <c r="I497" s="4">
        <v>70.880210219999995</v>
      </c>
      <c r="J497" s="4">
        <v>72.252625949999995</v>
      </c>
      <c r="K497" s="5">
        <v>4.7004631909999999</v>
      </c>
      <c r="L497" s="3">
        <v>6</v>
      </c>
      <c r="M497" s="2" t="s">
        <v>763</v>
      </c>
      <c r="N497" s="2" t="s">
        <v>21</v>
      </c>
      <c r="O497" s="4">
        <v>0.68562011001242984</v>
      </c>
      <c r="P497" s="2" t="str">
        <f t="shared" si="7"/>
        <v>Low</v>
      </c>
    </row>
    <row r="498" spans="1:16" ht="20.100000000000001" customHeight="1" x14ac:dyDescent="0.3">
      <c r="A498" s="2" t="s">
        <v>355</v>
      </c>
      <c r="B498" s="2" t="s">
        <v>769</v>
      </c>
      <c r="C498" s="3">
        <v>62</v>
      </c>
      <c r="D498" s="2" t="s">
        <v>757</v>
      </c>
      <c r="E498" s="4">
        <v>65.539397780000002</v>
      </c>
      <c r="F498" s="4">
        <v>1.965124533</v>
      </c>
      <c r="G498" s="4">
        <v>5.210684627</v>
      </c>
      <c r="H498" s="2" t="s">
        <v>28</v>
      </c>
      <c r="I498" s="4">
        <v>45.972657959999999</v>
      </c>
      <c r="J498" s="4">
        <v>51.330011519999999</v>
      </c>
      <c r="K498" s="5">
        <v>8.9045258559999994</v>
      </c>
      <c r="L498" s="3">
        <v>6</v>
      </c>
      <c r="M498" s="2" t="s">
        <v>763</v>
      </c>
      <c r="N498" s="2" t="s">
        <v>21</v>
      </c>
      <c r="O498" s="4">
        <v>2.1769299013050225</v>
      </c>
      <c r="P498" s="2" t="str">
        <f t="shared" si="7"/>
        <v>Low</v>
      </c>
    </row>
    <row r="499" spans="1:16" ht="20.100000000000001" customHeight="1" x14ac:dyDescent="0.3">
      <c r="A499" s="2" t="s">
        <v>356</v>
      </c>
      <c r="B499" s="2" t="s">
        <v>768</v>
      </c>
      <c r="C499" s="3">
        <v>62</v>
      </c>
      <c r="D499" s="2" t="s">
        <v>760</v>
      </c>
      <c r="E499" s="4">
        <v>62.919437350000003</v>
      </c>
      <c r="F499" s="4">
        <v>1.110562982</v>
      </c>
      <c r="G499" s="4">
        <v>37.243458009999998</v>
      </c>
      <c r="H499" s="2" t="s">
        <v>24</v>
      </c>
      <c r="I499" s="4">
        <v>39.360139369999999</v>
      </c>
      <c r="J499" s="4">
        <v>50.604187279999998</v>
      </c>
      <c r="K499" s="5">
        <v>21.51949832</v>
      </c>
      <c r="L499" s="3">
        <v>4</v>
      </c>
      <c r="M499" s="2" t="s">
        <v>764</v>
      </c>
      <c r="N499" s="2" t="s">
        <v>18</v>
      </c>
      <c r="O499" s="4">
        <v>4.3863088418085887</v>
      </c>
      <c r="P499" s="2" t="str">
        <f t="shared" si="7"/>
        <v>Acceptable</v>
      </c>
    </row>
    <row r="500" spans="1:16" ht="20.100000000000001" customHeight="1" x14ac:dyDescent="0.3">
      <c r="A500" s="2" t="s">
        <v>357</v>
      </c>
      <c r="B500" s="2" t="s">
        <v>771</v>
      </c>
      <c r="C500" s="3">
        <v>35.044354419999998</v>
      </c>
      <c r="D500" s="2" t="s">
        <v>759</v>
      </c>
      <c r="E500" s="4">
        <v>18.3997104</v>
      </c>
      <c r="F500" s="4">
        <v>2.0655203900000001</v>
      </c>
      <c r="G500" s="4">
        <v>5.9041894929999996</v>
      </c>
      <c r="H500" s="2" t="s">
        <v>24</v>
      </c>
      <c r="I500" s="4">
        <v>36.509683699999997</v>
      </c>
      <c r="J500" s="4">
        <v>85.769737329999998</v>
      </c>
      <c r="K500" s="5">
        <v>15.83347081</v>
      </c>
      <c r="L500" s="3">
        <v>0</v>
      </c>
      <c r="M500" s="2" t="s">
        <v>764</v>
      </c>
      <c r="N500" s="2" t="s">
        <v>15</v>
      </c>
      <c r="O500" s="4">
        <v>3.176317678545491</v>
      </c>
      <c r="P500" s="2" t="str">
        <f t="shared" si="7"/>
        <v>Acceptable</v>
      </c>
    </row>
    <row r="501" spans="1:16" ht="20.100000000000001" customHeight="1" x14ac:dyDescent="0.3">
      <c r="A501" s="2" t="s">
        <v>358</v>
      </c>
      <c r="B501" s="2" t="s">
        <v>770</v>
      </c>
      <c r="C501" s="3">
        <v>85</v>
      </c>
      <c r="D501" s="2" t="s">
        <v>761</v>
      </c>
      <c r="E501" s="4">
        <v>21.471428410000001</v>
      </c>
      <c r="F501" s="4">
        <v>3.1162253459999998</v>
      </c>
      <c r="G501" s="4">
        <v>47.189758699999999</v>
      </c>
      <c r="H501" s="2" t="s">
        <v>24</v>
      </c>
      <c r="I501" s="4">
        <v>53.35164134</v>
      </c>
      <c r="J501" s="4">
        <v>86.031350329999995</v>
      </c>
      <c r="K501" s="5">
        <v>16.60261302</v>
      </c>
      <c r="L501" s="3">
        <v>4</v>
      </c>
      <c r="M501" s="2" t="s">
        <v>764</v>
      </c>
      <c r="N501" s="2" t="s">
        <v>18</v>
      </c>
      <c r="O501" s="4">
        <v>5.9642802723265564</v>
      </c>
      <c r="P501" s="2" t="str">
        <f t="shared" si="7"/>
        <v>Acceptable</v>
      </c>
    </row>
    <row r="502" spans="1:16" ht="20.100000000000001" customHeight="1" x14ac:dyDescent="0.3">
      <c r="A502" s="2" t="s">
        <v>359</v>
      </c>
      <c r="B502" s="2" t="s">
        <v>770</v>
      </c>
      <c r="C502" s="3">
        <v>75</v>
      </c>
      <c r="D502" s="2" t="s">
        <v>761</v>
      </c>
      <c r="E502" s="4">
        <v>21.867947789999999</v>
      </c>
      <c r="F502" s="4">
        <v>3.3833368269999999</v>
      </c>
      <c r="G502" s="4">
        <v>29.884066000000001</v>
      </c>
      <c r="H502" s="2" t="s">
        <v>14</v>
      </c>
      <c r="I502" s="4">
        <v>43.835648800000001</v>
      </c>
      <c r="J502" s="4">
        <v>61.372029470000001</v>
      </c>
      <c r="K502" s="5">
        <v>35.01191455</v>
      </c>
      <c r="L502" s="3">
        <v>2</v>
      </c>
      <c r="M502" s="2" t="s">
        <v>763</v>
      </c>
      <c r="N502" s="2" t="s">
        <v>15</v>
      </c>
      <c r="O502" s="4">
        <v>2.8761349268784384</v>
      </c>
      <c r="P502" s="2" t="str">
        <f t="shared" si="7"/>
        <v>Low</v>
      </c>
    </row>
    <row r="503" spans="1:16" ht="20.100000000000001" customHeight="1" x14ac:dyDescent="0.3">
      <c r="A503" s="2" t="s">
        <v>360</v>
      </c>
      <c r="B503" s="2" t="s">
        <v>769</v>
      </c>
      <c r="C503" s="3">
        <v>50</v>
      </c>
      <c r="D503" s="2" t="s">
        <v>758</v>
      </c>
      <c r="E503" s="4">
        <v>40.051796619999998</v>
      </c>
      <c r="F503" s="4">
        <v>1.0397449089999999</v>
      </c>
      <c r="G503" s="4">
        <v>26.328016869999999</v>
      </c>
      <c r="H503" s="2" t="s">
        <v>17</v>
      </c>
      <c r="I503" s="4">
        <v>21.780356950000002</v>
      </c>
      <c r="J503" s="4">
        <v>92.331981589999998</v>
      </c>
      <c r="K503" s="5">
        <v>30.28535776</v>
      </c>
      <c r="L503" s="3">
        <v>2</v>
      </c>
      <c r="M503" s="2" t="s">
        <v>764</v>
      </c>
      <c r="N503" s="2" t="s">
        <v>18</v>
      </c>
      <c r="O503" s="4">
        <v>14.128596606459302</v>
      </c>
      <c r="P503" s="2" t="str">
        <f t="shared" si="7"/>
        <v>Superior</v>
      </c>
    </row>
    <row r="504" spans="1:16" ht="20.100000000000001" customHeight="1" x14ac:dyDescent="0.3">
      <c r="A504" s="2" t="s">
        <v>361</v>
      </c>
      <c r="B504" s="2" t="s">
        <v>769</v>
      </c>
      <c r="C504" s="3">
        <v>85</v>
      </c>
      <c r="D504" s="2" t="s">
        <v>757</v>
      </c>
      <c r="E504" s="4">
        <v>77.677821969999997</v>
      </c>
      <c r="F504" s="4">
        <v>2.8759623479999998</v>
      </c>
      <c r="G504" s="4">
        <v>36.883769399999998</v>
      </c>
      <c r="H504" s="2" t="s">
        <v>17</v>
      </c>
      <c r="I504" s="4">
        <v>18.747745859999998</v>
      </c>
      <c r="J504" s="4">
        <v>92.781831210000007</v>
      </c>
      <c r="K504" s="5">
        <v>16.719419179999999</v>
      </c>
      <c r="L504" s="3">
        <v>5</v>
      </c>
      <c r="M504" s="2" t="s">
        <v>762</v>
      </c>
      <c r="N504" s="2" t="s">
        <v>15</v>
      </c>
      <c r="O504" s="4">
        <v>48.881855262997234</v>
      </c>
      <c r="P504" s="2" t="str">
        <f t="shared" si="7"/>
        <v>Outstanding</v>
      </c>
    </row>
    <row r="505" spans="1:16" ht="20.100000000000001" customHeight="1" x14ac:dyDescent="0.3">
      <c r="A505" s="2" t="s">
        <v>362</v>
      </c>
      <c r="B505" s="2" t="s">
        <v>771</v>
      </c>
      <c r="C505" s="3">
        <v>62</v>
      </c>
      <c r="D505" s="2" t="s">
        <v>758</v>
      </c>
      <c r="E505" s="4">
        <v>38.36041213</v>
      </c>
      <c r="F505" s="4">
        <v>1.2969834259999999</v>
      </c>
      <c r="G505" s="4">
        <v>38.343763889999998</v>
      </c>
      <c r="H505" s="2" t="s">
        <v>28</v>
      </c>
      <c r="I505" s="4">
        <v>72.50501027</v>
      </c>
      <c r="J505" s="4">
        <v>86.300717719999994</v>
      </c>
      <c r="K505" s="5">
        <v>5.5012716690000003</v>
      </c>
      <c r="L505" s="3">
        <v>4</v>
      </c>
      <c r="M505" s="2" t="s">
        <v>764</v>
      </c>
      <c r="N505" s="2" t="s">
        <v>21</v>
      </c>
      <c r="O505" s="4">
        <v>3.281095945122849</v>
      </c>
      <c r="P505" s="2" t="str">
        <f t="shared" si="7"/>
        <v>Acceptable</v>
      </c>
    </row>
    <row r="506" spans="1:16" ht="20.100000000000001" customHeight="1" x14ac:dyDescent="0.3">
      <c r="A506" s="2" t="s">
        <v>363</v>
      </c>
      <c r="B506" s="2" t="s">
        <v>769</v>
      </c>
      <c r="C506" s="3">
        <v>75</v>
      </c>
      <c r="D506" s="2" t="s">
        <v>758</v>
      </c>
      <c r="E506" s="4">
        <v>6.3375342650000004</v>
      </c>
      <c r="F506" s="4">
        <v>0.94140624799999995</v>
      </c>
      <c r="G506" s="4">
        <v>4.3159616710000002</v>
      </c>
      <c r="H506" s="2" t="s">
        <v>17</v>
      </c>
      <c r="I506" s="4">
        <v>44.292257429999999</v>
      </c>
      <c r="J506" s="4">
        <v>55.523646300000003</v>
      </c>
      <c r="K506" s="5">
        <v>26.708940800000001</v>
      </c>
      <c r="L506" s="3">
        <v>4</v>
      </c>
      <c r="M506" s="2" t="s">
        <v>762</v>
      </c>
      <c r="N506" s="2" t="s">
        <v>21</v>
      </c>
      <c r="O506" s="4">
        <v>0.53384483855373499</v>
      </c>
      <c r="P506" s="2" t="str">
        <f t="shared" si="7"/>
        <v>Low</v>
      </c>
    </row>
    <row r="507" spans="1:16" ht="20.100000000000001" customHeight="1" x14ac:dyDescent="0.3">
      <c r="A507" s="2" t="s">
        <v>364</v>
      </c>
      <c r="B507" s="2" t="s">
        <v>22</v>
      </c>
      <c r="C507" s="3">
        <v>100</v>
      </c>
      <c r="D507" s="2" t="s">
        <v>758</v>
      </c>
      <c r="E507" s="4">
        <v>6.9787713499999997</v>
      </c>
      <c r="F507" s="4">
        <v>2.891860216</v>
      </c>
      <c r="G507" s="4">
        <v>35.788923539999999</v>
      </c>
      <c r="H507" s="2" t="s">
        <v>17</v>
      </c>
      <c r="I507" s="4">
        <v>23.831531590000001</v>
      </c>
      <c r="J507" s="4">
        <v>78.779967339999999</v>
      </c>
      <c r="K507" s="5">
        <v>27.355370430000001</v>
      </c>
      <c r="L507" s="3">
        <v>6</v>
      </c>
      <c r="M507" s="2" t="s">
        <v>764</v>
      </c>
      <c r="N507" s="2" t="s">
        <v>18</v>
      </c>
      <c r="O507" s="4">
        <v>3.8347256913941576</v>
      </c>
      <c r="P507" s="2" t="str">
        <f t="shared" si="7"/>
        <v>Acceptable</v>
      </c>
    </row>
    <row r="508" spans="1:16" ht="20.100000000000001" customHeight="1" x14ac:dyDescent="0.3">
      <c r="A508" s="2" t="s">
        <v>365</v>
      </c>
      <c r="B508" s="2" t="s">
        <v>771</v>
      </c>
      <c r="C508" s="3">
        <v>62</v>
      </c>
      <c r="D508" s="2" t="s">
        <v>757</v>
      </c>
      <c r="E508" s="4">
        <v>30.5491308</v>
      </c>
      <c r="F508" s="4">
        <v>3.7469924579999998</v>
      </c>
      <c r="G508" s="4">
        <v>31.231512720000001</v>
      </c>
      <c r="H508" s="2" t="s">
        <v>24</v>
      </c>
      <c r="I508" s="4">
        <v>59.657920959999998</v>
      </c>
      <c r="J508" s="4">
        <v>75.654304350000004</v>
      </c>
      <c r="K508" s="5">
        <v>29.502613419999999</v>
      </c>
      <c r="L508" s="3">
        <v>7</v>
      </c>
      <c r="M508" s="2" t="s">
        <v>764</v>
      </c>
      <c r="N508" s="2" t="s">
        <v>21</v>
      </c>
      <c r="O508" s="4">
        <v>3.0297887727499568</v>
      </c>
      <c r="P508" s="2" t="str">
        <f t="shared" si="7"/>
        <v>Acceptable</v>
      </c>
    </row>
    <row r="509" spans="1:16" ht="20.100000000000001" customHeight="1" x14ac:dyDescent="0.3">
      <c r="A509" s="2" t="s">
        <v>57</v>
      </c>
      <c r="B509" s="2" t="s">
        <v>22</v>
      </c>
      <c r="C509" s="3">
        <v>50</v>
      </c>
      <c r="D509" s="2" t="s">
        <v>759</v>
      </c>
      <c r="E509" s="4">
        <v>76.933421899999999</v>
      </c>
      <c r="F509" s="4">
        <v>2.1234202</v>
      </c>
      <c r="G509" s="4">
        <v>34.176855500000002</v>
      </c>
      <c r="H509" s="2" t="s">
        <v>28</v>
      </c>
      <c r="I509" s="4">
        <v>27.174615330000002</v>
      </c>
      <c r="J509" s="4">
        <v>92.1446337</v>
      </c>
      <c r="K509" s="5">
        <v>7.9416880919999997</v>
      </c>
      <c r="L509" s="3">
        <v>2.5918513280000002</v>
      </c>
      <c r="M509" s="2" t="s">
        <v>764</v>
      </c>
      <c r="N509" s="2" t="s">
        <v>18</v>
      </c>
      <c r="O509" s="4">
        <v>24.991829170549799</v>
      </c>
      <c r="P509" s="2" t="str">
        <f t="shared" si="7"/>
        <v>Outstanding</v>
      </c>
    </row>
    <row r="510" spans="1:16" ht="20.100000000000001" customHeight="1" x14ac:dyDescent="0.3">
      <c r="A510" s="2" t="s">
        <v>366</v>
      </c>
      <c r="B510" s="2" t="s">
        <v>22</v>
      </c>
      <c r="C510" s="3">
        <v>100</v>
      </c>
      <c r="D510" s="2" t="s">
        <v>759</v>
      </c>
      <c r="E510" s="4">
        <v>76.065038810000004</v>
      </c>
      <c r="F510" s="4">
        <v>3.724368519</v>
      </c>
      <c r="G510" s="4">
        <v>5.4903225769999997</v>
      </c>
      <c r="H510" s="2" t="s">
        <v>14</v>
      </c>
      <c r="I510" s="4">
        <v>15.22175989</v>
      </c>
      <c r="J510" s="4">
        <v>83.983061370000001</v>
      </c>
      <c r="K510" s="5">
        <v>10.675410149999999</v>
      </c>
      <c r="L510" s="3">
        <v>1</v>
      </c>
      <c r="M510" s="2" t="s">
        <v>764</v>
      </c>
      <c r="N510" s="2" t="s">
        <v>21</v>
      </c>
      <c r="O510" s="4">
        <v>52.303310657023104</v>
      </c>
      <c r="P510" s="2" t="str">
        <f t="shared" si="7"/>
        <v>Outstanding</v>
      </c>
    </row>
    <row r="511" spans="1:16" ht="20.100000000000001" customHeight="1" x14ac:dyDescent="0.3">
      <c r="A511" s="2" t="s">
        <v>367</v>
      </c>
      <c r="B511" s="2" t="s">
        <v>770</v>
      </c>
      <c r="C511" s="3">
        <v>62</v>
      </c>
      <c r="D511" s="2" t="s">
        <v>760</v>
      </c>
      <c r="E511" s="4">
        <v>30.550011560000002</v>
      </c>
      <c r="F511" s="4">
        <v>2.8343933529999998</v>
      </c>
      <c r="G511" s="4">
        <v>8.8315735879999995</v>
      </c>
      <c r="H511" s="2" t="s">
        <v>28</v>
      </c>
      <c r="I511" s="4">
        <v>44.701019500000001</v>
      </c>
      <c r="J511" s="4">
        <v>95.145641769999997</v>
      </c>
      <c r="K511" s="5">
        <v>29.81421521</v>
      </c>
      <c r="L511" s="3">
        <v>7</v>
      </c>
      <c r="M511" s="2" t="s">
        <v>763</v>
      </c>
      <c r="N511" s="2" t="s">
        <v>18</v>
      </c>
      <c r="O511" s="4">
        <v>9.5547195196276657</v>
      </c>
      <c r="P511" s="2" t="str">
        <f t="shared" si="7"/>
        <v>Acceptable</v>
      </c>
    </row>
    <row r="512" spans="1:16" ht="20.100000000000001" customHeight="1" x14ac:dyDescent="0.3">
      <c r="A512" s="2" t="s">
        <v>368</v>
      </c>
      <c r="B512" s="2" t="s">
        <v>770</v>
      </c>
      <c r="C512" s="3">
        <v>75</v>
      </c>
      <c r="D512" s="2" t="s">
        <v>761</v>
      </c>
      <c r="E512" s="4">
        <v>44.758667379999999</v>
      </c>
      <c r="F512" s="4">
        <v>3.4897711999999999</v>
      </c>
      <c r="G512" s="4">
        <v>19.404372429999999</v>
      </c>
      <c r="H512" s="2" t="s">
        <v>28</v>
      </c>
      <c r="I512" s="4">
        <v>28.443103369999999</v>
      </c>
      <c r="J512" s="4">
        <v>98.272857160000001</v>
      </c>
      <c r="K512" s="5">
        <v>3.8586586390000002</v>
      </c>
      <c r="L512" s="3">
        <v>5</v>
      </c>
      <c r="M512" s="2" t="s">
        <v>764</v>
      </c>
      <c r="N512" s="2" t="s">
        <v>21</v>
      </c>
      <c r="O512" s="4">
        <v>23.44115042335428</v>
      </c>
      <c r="P512" s="2" t="str">
        <f t="shared" si="7"/>
        <v>Outstanding</v>
      </c>
    </row>
    <row r="513" spans="1:16" ht="20.100000000000001" customHeight="1" x14ac:dyDescent="0.3">
      <c r="A513" s="2" t="s">
        <v>369</v>
      </c>
      <c r="B513" s="2" t="s">
        <v>22</v>
      </c>
      <c r="C513" s="3">
        <v>75</v>
      </c>
      <c r="D513" s="2" t="s">
        <v>760</v>
      </c>
      <c r="E513" s="4">
        <v>59.157308469999997</v>
      </c>
      <c r="F513" s="4">
        <v>2.8668371490000002</v>
      </c>
      <c r="G513" s="4">
        <v>19.101417090000002</v>
      </c>
      <c r="H513" s="2" t="s">
        <v>14</v>
      </c>
      <c r="I513" s="4">
        <v>14.43359894</v>
      </c>
      <c r="J513" s="4">
        <v>54.773365040000002</v>
      </c>
      <c r="K513" s="5">
        <v>34.327524060000002</v>
      </c>
      <c r="L513" s="3">
        <v>3</v>
      </c>
      <c r="M513" s="2" t="s">
        <v>763</v>
      </c>
      <c r="N513" s="2" t="s">
        <v>18</v>
      </c>
      <c r="O513" s="4">
        <v>17.897939900890119</v>
      </c>
      <c r="P513" s="2" t="str">
        <f t="shared" si="7"/>
        <v>Superior</v>
      </c>
    </row>
    <row r="514" spans="1:16" ht="20.100000000000001" customHeight="1" x14ac:dyDescent="0.3">
      <c r="A514" s="2" t="s">
        <v>370</v>
      </c>
      <c r="B514" s="2" t="s">
        <v>770</v>
      </c>
      <c r="C514" s="3">
        <v>100</v>
      </c>
      <c r="D514" s="2" t="s">
        <v>760</v>
      </c>
      <c r="E514" s="4">
        <v>57.145559970000001</v>
      </c>
      <c r="F514" s="4">
        <v>2.5697534979999999</v>
      </c>
      <c r="G514" s="4">
        <v>5.9624447209999998</v>
      </c>
      <c r="H514" s="2" t="s">
        <v>17</v>
      </c>
      <c r="I514" s="4">
        <v>82.433185069999993</v>
      </c>
      <c r="J514" s="4">
        <v>93.335936410000002</v>
      </c>
      <c r="K514" s="5">
        <v>38.020090940000003</v>
      </c>
      <c r="L514" s="3">
        <v>7</v>
      </c>
      <c r="M514" s="2" t="s">
        <v>764</v>
      </c>
      <c r="N514" s="2" t="s">
        <v>15</v>
      </c>
      <c r="O514" s="4">
        <v>6.2304383053796837</v>
      </c>
      <c r="P514" s="2" t="str">
        <f t="shared" si="7"/>
        <v>Acceptable</v>
      </c>
    </row>
    <row r="515" spans="1:16" ht="20.100000000000001" customHeight="1" x14ac:dyDescent="0.3">
      <c r="A515" s="2" t="s">
        <v>371</v>
      </c>
      <c r="B515" s="2" t="s">
        <v>769</v>
      </c>
      <c r="C515" s="3">
        <v>75</v>
      </c>
      <c r="D515" s="2" t="s">
        <v>758</v>
      </c>
      <c r="E515" s="4">
        <v>23.836880099999998</v>
      </c>
      <c r="F515" s="4">
        <v>2.8536492330000001</v>
      </c>
      <c r="G515" s="4">
        <v>12.329512360000001</v>
      </c>
      <c r="H515" s="2" t="s">
        <v>28</v>
      </c>
      <c r="I515" s="4">
        <v>63.198836280000002</v>
      </c>
      <c r="J515" s="4">
        <v>73.812708459999996</v>
      </c>
      <c r="K515" s="5">
        <v>29.028763659999999</v>
      </c>
      <c r="L515" s="3">
        <v>2.8254819699999998</v>
      </c>
      <c r="M515" s="2" t="s">
        <v>762</v>
      </c>
      <c r="N515" s="2" t="s">
        <v>15</v>
      </c>
      <c r="O515" s="4">
        <v>1.8975119891353911</v>
      </c>
      <c r="P515" s="2" t="str">
        <f t="shared" ref="P515:P578" si="8">IF(O515 &lt; 3, "Low", IF(O515 &lt; 10, "Acceptable", IF(O515 &lt; 20, "Superior", "Outstanding")))</f>
        <v>Low</v>
      </c>
    </row>
    <row r="516" spans="1:16" ht="20.100000000000001" customHeight="1" x14ac:dyDescent="0.3">
      <c r="A516" s="2" t="s">
        <v>372</v>
      </c>
      <c r="B516" s="2" t="s">
        <v>771</v>
      </c>
      <c r="C516" s="3">
        <v>75</v>
      </c>
      <c r="D516" s="2" t="s">
        <v>757</v>
      </c>
      <c r="E516" s="4">
        <v>27.170170809999998</v>
      </c>
      <c r="F516" s="4">
        <v>3.3209390609999998</v>
      </c>
      <c r="G516" s="4">
        <v>23.82464409</v>
      </c>
      <c r="H516" s="2" t="s">
        <v>24</v>
      </c>
      <c r="I516" s="4">
        <v>46.821753039999997</v>
      </c>
      <c r="J516" s="4">
        <v>79.213896120000001</v>
      </c>
      <c r="K516" s="5">
        <v>4.1624854710000001</v>
      </c>
      <c r="L516" s="3">
        <v>4</v>
      </c>
      <c r="M516" s="2" t="s">
        <v>764</v>
      </c>
      <c r="N516" s="2" t="s">
        <v>15</v>
      </c>
      <c r="O516" s="4">
        <v>6.6007504528916954</v>
      </c>
      <c r="P516" s="2" t="str">
        <f t="shared" si="8"/>
        <v>Acceptable</v>
      </c>
    </row>
    <row r="517" spans="1:16" ht="20.100000000000001" customHeight="1" x14ac:dyDescent="0.3">
      <c r="A517" s="2" t="s">
        <v>373</v>
      </c>
      <c r="B517" s="2" t="s">
        <v>771</v>
      </c>
      <c r="C517" s="3">
        <v>50</v>
      </c>
      <c r="D517" s="2" t="s">
        <v>760</v>
      </c>
      <c r="E517" s="4">
        <v>48.942320250000002</v>
      </c>
      <c r="F517" s="4">
        <v>3.7916223160000002</v>
      </c>
      <c r="G517" s="4">
        <v>31.171170499999999</v>
      </c>
      <c r="H517" s="2" t="s">
        <v>17</v>
      </c>
      <c r="I517" s="4">
        <v>75.810684429999995</v>
      </c>
      <c r="J517" s="4">
        <v>89.154642289999998</v>
      </c>
      <c r="K517" s="5">
        <v>31.508322979999999</v>
      </c>
      <c r="L517" s="3">
        <v>4</v>
      </c>
      <c r="M517" s="2" t="s">
        <v>764</v>
      </c>
      <c r="N517" s="2" t="s">
        <v>15</v>
      </c>
      <c r="O517" s="4">
        <v>3.2654212949331241</v>
      </c>
      <c r="P517" s="2" t="str">
        <f t="shared" si="8"/>
        <v>Acceptable</v>
      </c>
    </row>
    <row r="518" spans="1:16" ht="20.100000000000001" customHeight="1" x14ac:dyDescent="0.3">
      <c r="A518" s="2" t="s">
        <v>374</v>
      </c>
      <c r="B518" s="2" t="s">
        <v>769</v>
      </c>
      <c r="C518" s="3">
        <v>75</v>
      </c>
      <c r="D518" s="2" t="s">
        <v>761</v>
      </c>
      <c r="E518" s="4">
        <v>58.197285270000002</v>
      </c>
      <c r="F518" s="4">
        <v>1.7620474180000001</v>
      </c>
      <c r="G518" s="4">
        <v>6.5087451529999996</v>
      </c>
      <c r="H518" s="2" t="s">
        <v>14</v>
      </c>
      <c r="I518" s="4">
        <v>25.84005874</v>
      </c>
      <c r="J518" s="4">
        <v>83.117432010000002</v>
      </c>
      <c r="K518" s="5">
        <v>19.901109389999998</v>
      </c>
      <c r="L518" s="3">
        <v>5</v>
      </c>
      <c r="M518" s="2" t="s">
        <v>764</v>
      </c>
      <c r="N518" s="2" t="s">
        <v>18</v>
      </c>
      <c r="O518" s="4">
        <v>25.000407237828473</v>
      </c>
      <c r="P518" s="2" t="str">
        <f t="shared" si="8"/>
        <v>Outstanding</v>
      </c>
    </row>
    <row r="519" spans="1:16" ht="20.100000000000001" customHeight="1" x14ac:dyDescent="0.3">
      <c r="A519" s="2" t="s">
        <v>375</v>
      </c>
      <c r="B519" s="2" t="s">
        <v>770</v>
      </c>
      <c r="C519" s="3">
        <v>62</v>
      </c>
      <c r="D519" s="2" t="s">
        <v>761</v>
      </c>
      <c r="E519" s="4">
        <v>65.200937199999998</v>
      </c>
      <c r="F519" s="4">
        <v>2.9527283880000001</v>
      </c>
      <c r="G519" s="4">
        <v>22.57264065</v>
      </c>
      <c r="H519" s="2" t="s">
        <v>28</v>
      </c>
      <c r="I519" s="4">
        <v>13.9095967</v>
      </c>
      <c r="J519" s="4">
        <v>77.578875120000006</v>
      </c>
      <c r="K519" s="5">
        <v>15.03255201</v>
      </c>
      <c r="L519" s="3">
        <v>7.1970415440000002</v>
      </c>
      <c r="M519" s="2" t="s">
        <v>764</v>
      </c>
      <c r="N519" s="2" t="s">
        <v>18</v>
      </c>
      <c r="O519" s="4">
        <v>25.738039067756759</v>
      </c>
      <c r="P519" s="2" t="str">
        <f t="shared" si="8"/>
        <v>Outstanding</v>
      </c>
    </row>
    <row r="520" spans="1:16" ht="20.100000000000001" customHeight="1" x14ac:dyDescent="0.3">
      <c r="A520" s="2" t="s">
        <v>376</v>
      </c>
      <c r="B520" s="2" t="s">
        <v>22</v>
      </c>
      <c r="C520" s="3">
        <v>5.189529952</v>
      </c>
      <c r="D520" s="2" t="s">
        <v>757</v>
      </c>
      <c r="E520" s="4">
        <v>51.14211521</v>
      </c>
      <c r="F520" s="4">
        <v>1.780954154</v>
      </c>
      <c r="G520" s="4">
        <v>21.118030650000001</v>
      </c>
      <c r="H520" s="2" t="s">
        <v>24</v>
      </c>
      <c r="I520" s="4">
        <v>58.189363149999998</v>
      </c>
      <c r="J520" s="4">
        <v>69.157727940000001</v>
      </c>
      <c r="K520" s="5">
        <v>18.387603460000001</v>
      </c>
      <c r="L520" s="3">
        <v>2</v>
      </c>
      <c r="M520" s="2" t="s">
        <v>763</v>
      </c>
      <c r="N520" s="2" t="s">
        <v>15</v>
      </c>
      <c r="O520" s="4">
        <v>0.29110428289189971</v>
      </c>
      <c r="P520" s="2" t="str">
        <f t="shared" si="8"/>
        <v>Low</v>
      </c>
    </row>
    <row r="521" spans="1:16" ht="20.100000000000001" customHeight="1" x14ac:dyDescent="0.3">
      <c r="A521" s="2" t="s">
        <v>58</v>
      </c>
      <c r="B521" s="2" t="s">
        <v>22</v>
      </c>
      <c r="C521" s="3">
        <v>100</v>
      </c>
      <c r="D521" s="2" t="s">
        <v>761</v>
      </c>
      <c r="E521" s="4">
        <v>37.062927780000003</v>
      </c>
      <c r="F521" s="4">
        <v>1.6090994329999999</v>
      </c>
      <c r="G521" s="4">
        <v>15.230062589999999</v>
      </c>
      <c r="H521" s="2" t="s">
        <v>17</v>
      </c>
      <c r="I521" s="4">
        <v>7.5204447270000001</v>
      </c>
      <c r="J521" s="4">
        <v>67.797872650000002</v>
      </c>
      <c r="K521" s="5">
        <v>16.48370594</v>
      </c>
      <c r="L521" s="3">
        <v>2</v>
      </c>
      <c r="M521" s="2" t="s">
        <v>763</v>
      </c>
      <c r="N521" s="2" t="s">
        <v>21</v>
      </c>
      <c r="O521" s="4">
        <v>22.340579578743046</v>
      </c>
      <c r="P521" s="2" t="str">
        <f t="shared" si="8"/>
        <v>Outstanding</v>
      </c>
    </row>
    <row r="522" spans="1:16" ht="20.100000000000001" customHeight="1" x14ac:dyDescent="0.3">
      <c r="A522" s="2" t="s">
        <v>377</v>
      </c>
      <c r="B522" s="2" t="s">
        <v>771</v>
      </c>
      <c r="C522" s="3">
        <v>85</v>
      </c>
      <c r="D522" s="2" t="s">
        <v>759</v>
      </c>
      <c r="E522" s="4">
        <v>41.977182839999998</v>
      </c>
      <c r="F522" s="4">
        <v>3.1964455520000001</v>
      </c>
      <c r="G522" s="4">
        <v>49.308369399999997</v>
      </c>
      <c r="H522" s="2" t="s">
        <v>14</v>
      </c>
      <c r="I522" s="4">
        <v>11.415452889999999</v>
      </c>
      <c r="J522" s="4">
        <v>88.498632299999997</v>
      </c>
      <c r="K522" s="5">
        <v>8.2162711680000005</v>
      </c>
      <c r="L522" s="3">
        <v>5</v>
      </c>
      <c r="M522" s="2" t="s">
        <v>763</v>
      </c>
      <c r="N522" s="2" t="s">
        <v>15</v>
      </c>
      <c r="O522" s="4">
        <v>27.50374508584779</v>
      </c>
      <c r="P522" s="2" t="str">
        <f t="shared" si="8"/>
        <v>Outstanding</v>
      </c>
    </row>
    <row r="523" spans="1:16" ht="20.100000000000001" customHeight="1" x14ac:dyDescent="0.3">
      <c r="A523" s="2" t="s">
        <v>378</v>
      </c>
      <c r="B523" s="2" t="s">
        <v>770</v>
      </c>
      <c r="C523" s="3">
        <v>50</v>
      </c>
      <c r="D523" s="2" t="s">
        <v>758</v>
      </c>
      <c r="E523" s="4">
        <v>69.422351039999995</v>
      </c>
      <c r="F523" s="4">
        <v>1.9373668690000001</v>
      </c>
      <c r="G523" s="4">
        <v>9.8898207419999995</v>
      </c>
      <c r="H523" s="2" t="s">
        <v>14</v>
      </c>
      <c r="I523" s="4">
        <v>29.133980789999999</v>
      </c>
      <c r="J523" s="4">
        <v>99.887153069999997</v>
      </c>
      <c r="K523" s="5">
        <v>37.268214950000001</v>
      </c>
      <c r="L523" s="3">
        <v>5</v>
      </c>
      <c r="M523" s="2" t="s">
        <v>764</v>
      </c>
      <c r="N523" s="2" t="s">
        <v>18</v>
      </c>
      <c r="O523" s="4">
        <v>24.559257816078784</v>
      </c>
      <c r="P523" s="2" t="str">
        <f t="shared" si="8"/>
        <v>Outstanding</v>
      </c>
    </row>
    <row r="524" spans="1:16" ht="20.100000000000001" customHeight="1" x14ac:dyDescent="0.3">
      <c r="A524" s="2" t="s">
        <v>379</v>
      </c>
      <c r="B524" s="2" t="s">
        <v>769</v>
      </c>
      <c r="C524" s="3">
        <v>50</v>
      </c>
      <c r="D524" s="2" t="s">
        <v>760</v>
      </c>
      <c r="E524" s="4">
        <v>78.983579449999993</v>
      </c>
      <c r="F524" s="4">
        <v>2.9040714589999999</v>
      </c>
      <c r="G524" s="4">
        <v>37.47917296</v>
      </c>
      <c r="H524" s="2" t="s">
        <v>14</v>
      </c>
      <c r="I524" s="4">
        <v>30.855323850000001</v>
      </c>
      <c r="J524" s="4">
        <v>89.888898139999995</v>
      </c>
      <c r="K524" s="5">
        <v>9.5689146800000007</v>
      </c>
      <c r="L524" s="3">
        <v>0</v>
      </c>
      <c r="M524" s="2" t="s">
        <v>764</v>
      </c>
      <c r="N524" s="2" t="s">
        <v>15</v>
      </c>
      <c r="O524" s="4">
        <v>23.313415025758456</v>
      </c>
      <c r="P524" s="2" t="str">
        <f t="shared" si="8"/>
        <v>Outstanding</v>
      </c>
    </row>
    <row r="525" spans="1:16" ht="20.100000000000001" customHeight="1" x14ac:dyDescent="0.3">
      <c r="A525" s="2" t="s">
        <v>380</v>
      </c>
      <c r="B525" s="2" t="s">
        <v>768</v>
      </c>
      <c r="C525" s="3">
        <v>85</v>
      </c>
      <c r="D525" s="2" t="s">
        <v>761</v>
      </c>
      <c r="E525" s="4">
        <v>8.5279290060000008</v>
      </c>
      <c r="F525" s="4">
        <v>2.9292312620000001</v>
      </c>
      <c r="G525" s="4">
        <v>9.8121045769999995</v>
      </c>
      <c r="H525" s="2" t="s">
        <v>14</v>
      </c>
      <c r="I525" s="4">
        <v>40.402036330000001</v>
      </c>
      <c r="J525" s="4">
        <v>66.025322630000005</v>
      </c>
      <c r="K525" s="5">
        <v>39.930003200000002</v>
      </c>
      <c r="L525" s="3">
        <v>1</v>
      </c>
      <c r="M525" s="2" t="s">
        <v>762</v>
      </c>
      <c r="N525" s="2" t="s">
        <v>15</v>
      </c>
      <c r="O525" s="4">
        <v>1.8573653149679061</v>
      </c>
      <c r="P525" s="2" t="str">
        <f t="shared" si="8"/>
        <v>Low</v>
      </c>
    </row>
    <row r="526" spans="1:16" ht="20.100000000000001" customHeight="1" x14ac:dyDescent="0.3">
      <c r="A526" s="2" t="s">
        <v>381</v>
      </c>
      <c r="B526" s="2" t="s">
        <v>769</v>
      </c>
      <c r="C526" s="3">
        <v>105.5549669</v>
      </c>
      <c r="D526" s="2" t="s">
        <v>758</v>
      </c>
      <c r="E526" s="4">
        <v>48.502886590000003</v>
      </c>
      <c r="F526" s="4">
        <v>3.2569565890000001</v>
      </c>
      <c r="G526" s="4">
        <v>43.609707460000003</v>
      </c>
      <c r="H526" s="2" t="s">
        <v>28</v>
      </c>
      <c r="I526" s="4">
        <v>28.208935069999999</v>
      </c>
      <c r="J526" s="4">
        <v>64.312220010000004</v>
      </c>
      <c r="K526" s="5">
        <v>23.8877427</v>
      </c>
      <c r="L526" s="3">
        <v>4</v>
      </c>
      <c r="M526" s="2" t="s">
        <v>763</v>
      </c>
      <c r="N526" s="2" t="s">
        <v>18</v>
      </c>
      <c r="O526" s="4">
        <v>18.483873122203498</v>
      </c>
      <c r="P526" s="2" t="str">
        <f t="shared" si="8"/>
        <v>Superior</v>
      </c>
    </row>
    <row r="527" spans="1:16" ht="20.100000000000001" customHeight="1" x14ac:dyDescent="0.3">
      <c r="A527" s="2" t="s">
        <v>382</v>
      </c>
      <c r="B527" s="2" t="s">
        <v>769</v>
      </c>
      <c r="C527" s="3">
        <v>62</v>
      </c>
      <c r="D527" s="2" t="s">
        <v>757</v>
      </c>
      <c r="E527" s="4">
        <v>52.532574480000001</v>
      </c>
      <c r="F527" s="4">
        <v>0.75003434099999999</v>
      </c>
      <c r="G527" s="4">
        <v>40.990445960000002</v>
      </c>
      <c r="H527" s="2" t="s">
        <v>28</v>
      </c>
      <c r="I527" s="4">
        <v>29.71940201</v>
      </c>
      <c r="J527" s="4">
        <v>63.899161429999999</v>
      </c>
      <c r="K527" s="5">
        <v>36.520612980000003</v>
      </c>
      <c r="L527" s="3">
        <v>0</v>
      </c>
      <c r="M527" s="2" t="s">
        <v>763</v>
      </c>
      <c r="N527" s="2" t="s">
        <v>21</v>
      </c>
      <c r="O527" s="4">
        <v>11.132414696125716</v>
      </c>
      <c r="P527" s="2" t="str">
        <f t="shared" si="8"/>
        <v>Superior</v>
      </c>
    </row>
    <row r="528" spans="1:16" ht="20.100000000000001" customHeight="1" x14ac:dyDescent="0.3">
      <c r="A528" s="2" t="s">
        <v>383</v>
      </c>
      <c r="B528" s="2" t="s">
        <v>771</v>
      </c>
      <c r="C528" s="3">
        <v>75</v>
      </c>
      <c r="D528" s="2" t="s">
        <v>758</v>
      </c>
      <c r="E528" s="4">
        <v>45.4711888</v>
      </c>
      <c r="F528" s="4">
        <v>2.9577467890000002</v>
      </c>
      <c r="G528" s="4">
        <v>48.011455929999997</v>
      </c>
      <c r="H528" s="2" t="s">
        <v>17</v>
      </c>
      <c r="I528" s="4">
        <v>56.831376880000001</v>
      </c>
      <c r="J528" s="4">
        <v>89.623842389999993</v>
      </c>
      <c r="K528" s="5">
        <v>26.504425569999999</v>
      </c>
      <c r="L528" s="3">
        <v>6</v>
      </c>
      <c r="M528" s="2" t="s">
        <v>762</v>
      </c>
      <c r="N528" s="2" t="s">
        <v>15</v>
      </c>
      <c r="O528" s="4">
        <v>11.183342928170234</v>
      </c>
      <c r="P528" s="2" t="str">
        <f t="shared" si="8"/>
        <v>Superior</v>
      </c>
    </row>
    <row r="529" spans="1:16" ht="20.100000000000001" customHeight="1" x14ac:dyDescent="0.3">
      <c r="A529" s="2" t="s">
        <v>384</v>
      </c>
      <c r="B529" s="2" t="s">
        <v>22</v>
      </c>
      <c r="C529" s="3">
        <v>85</v>
      </c>
      <c r="D529" s="2" t="s">
        <v>757</v>
      </c>
      <c r="E529" s="4">
        <v>53.104493650000002</v>
      </c>
      <c r="F529" s="4">
        <v>1.8580966640000001</v>
      </c>
      <c r="G529" s="4">
        <v>12.62054715</v>
      </c>
      <c r="H529" s="2" t="s">
        <v>28</v>
      </c>
      <c r="I529" s="4">
        <v>33.660135779999997</v>
      </c>
      <c r="J529" s="4">
        <v>52.833783269999998</v>
      </c>
      <c r="K529" s="5">
        <v>14.121318219999999</v>
      </c>
      <c r="L529" s="3">
        <v>6</v>
      </c>
      <c r="M529" s="2" t="s">
        <v>763</v>
      </c>
      <c r="N529" s="2" t="s">
        <v>18</v>
      </c>
      <c r="O529" s="4">
        <v>8.6547581517303698</v>
      </c>
      <c r="P529" s="2" t="str">
        <f t="shared" si="8"/>
        <v>Acceptable</v>
      </c>
    </row>
    <row r="530" spans="1:16" ht="20.100000000000001" customHeight="1" x14ac:dyDescent="0.3">
      <c r="A530" s="2" t="s">
        <v>385</v>
      </c>
      <c r="B530" s="2" t="s">
        <v>771</v>
      </c>
      <c r="C530" s="3">
        <v>75</v>
      </c>
      <c r="D530" s="2" t="s">
        <v>757</v>
      </c>
      <c r="E530" s="4">
        <v>28.78805676</v>
      </c>
      <c r="F530" s="4">
        <v>3.1918278560000002</v>
      </c>
      <c r="G530" s="4">
        <v>33.372714770000002</v>
      </c>
      <c r="H530" s="2" t="s">
        <v>14</v>
      </c>
      <c r="I530" s="4">
        <v>40.830540259999999</v>
      </c>
      <c r="J530" s="4">
        <v>61.647563079999998</v>
      </c>
      <c r="K530" s="5">
        <v>1.309731242</v>
      </c>
      <c r="L530" s="3">
        <v>0</v>
      </c>
      <c r="M530" s="2" t="s">
        <v>762</v>
      </c>
      <c r="N530" s="2" t="s">
        <v>15</v>
      </c>
      <c r="O530" s="4">
        <v>4.4946122588728139</v>
      </c>
      <c r="P530" s="2" t="str">
        <f t="shared" si="8"/>
        <v>Acceptable</v>
      </c>
    </row>
    <row r="531" spans="1:16" ht="20.100000000000001" customHeight="1" x14ac:dyDescent="0.3">
      <c r="A531" s="2" t="s">
        <v>386</v>
      </c>
      <c r="B531" s="2" t="s">
        <v>769</v>
      </c>
      <c r="C531" s="3">
        <v>101.1029879</v>
      </c>
      <c r="D531" s="2" t="s">
        <v>758</v>
      </c>
      <c r="E531" s="4">
        <v>7.2754435109999998</v>
      </c>
      <c r="F531" s="4">
        <v>2.6906032550000001</v>
      </c>
      <c r="G531" s="4">
        <v>21.060324309999999</v>
      </c>
      <c r="H531" s="2" t="s">
        <v>28</v>
      </c>
      <c r="I531" s="4">
        <v>12.884780960000001</v>
      </c>
      <c r="J531" s="4">
        <v>72.451748309999999</v>
      </c>
      <c r="K531" s="5">
        <v>26.953658529999998</v>
      </c>
      <c r="L531" s="3">
        <v>0</v>
      </c>
      <c r="M531" s="2" t="s">
        <v>763</v>
      </c>
      <c r="N531" s="2" t="s">
        <v>15</v>
      </c>
      <c r="O531" s="4">
        <v>4.3815619208802135</v>
      </c>
      <c r="P531" s="2" t="str">
        <f t="shared" si="8"/>
        <v>Acceptable</v>
      </c>
    </row>
    <row r="532" spans="1:16" ht="20.100000000000001" customHeight="1" x14ac:dyDescent="0.3">
      <c r="A532" s="2" t="s">
        <v>387</v>
      </c>
      <c r="B532" s="2" t="s">
        <v>771</v>
      </c>
      <c r="C532" s="3">
        <v>50</v>
      </c>
      <c r="D532" s="2" t="s">
        <v>757</v>
      </c>
      <c r="E532" s="4">
        <v>79.962226279999996</v>
      </c>
      <c r="F532" s="4">
        <v>2.967779749</v>
      </c>
      <c r="G532" s="4">
        <v>9.8077299260000004</v>
      </c>
      <c r="H532" s="2" t="s">
        <v>24</v>
      </c>
      <c r="I532" s="4">
        <v>20.760171809999999</v>
      </c>
      <c r="J532" s="4">
        <v>98.432868889999995</v>
      </c>
      <c r="K532" s="5">
        <v>4.7532580109999998</v>
      </c>
      <c r="L532" s="3">
        <v>2</v>
      </c>
      <c r="M532" s="2" t="s">
        <v>763</v>
      </c>
      <c r="N532" s="2" t="s">
        <v>21</v>
      </c>
      <c r="O532" s="4">
        <v>31.054408898444272</v>
      </c>
      <c r="P532" s="2" t="str">
        <f t="shared" si="8"/>
        <v>Outstanding</v>
      </c>
    </row>
    <row r="533" spans="1:16" ht="20.100000000000001" customHeight="1" x14ac:dyDescent="0.3">
      <c r="A533" s="2" t="s">
        <v>388</v>
      </c>
      <c r="B533" s="2" t="s">
        <v>769</v>
      </c>
      <c r="C533" s="3">
        <v>100</v>
      </c>
      <c r="D533" s="2" t="s">
        <v>760</v>
      </c>
      <c r="E533" s="4">
        <v>57.232834449999999</v>
      </c>
      <c r="F533" s="4">
        <v>1.389640352</v>
      </c>
      <c r="G533" s="4">
        <v>30.942753310000001</v>
      </c>
      <c r="H533" s="2" t="s">
        <v>14</v>
      </c>
      <c r="I533" s="4">
        <v>22.440899420000001</v>
      </c>
      <c r="J533" s="4">
        <v>63.151771109999999</v>
      </c>
      <c r="K533" s="5">
        <v>0.83058290899999998</v>
      </c>
      <c r="L533" s="3">
        <v>4</v>
      </c>
      <c r="M533" s="2" t="s">
        <v>762</v>
      </c>
      <c r="N533" s="2" t="s">
        <v>15</v>
      </c>
      <c r="O533" s="4">
        <v>23.299985797489615</v>
      </c>
      <c r="P533" s="2" t="str">
        <f t="shared" si="8"/>
        <v>Outstanding</v>
      </c>
    </row>
    <row r="534" spans="1:16" ht="20.100000000000001" customHeight="1" x14ac:dyDescent="0.3">
      <c r="A534" s="2" t="s">
        <v>389</v>
      </c>
      <c r="B534" s="2" t="s">
        <v>768</v>
      </c>
      <c r="C534" s="3">
        <v>100</v>
      </c>
      <c r="D534" s="2" t="s">
        <v>759</v>
      </c>
      <c r="E534" s="4">
        <v>10.4201108</v>
      </c>
      <c r="F534" s="4">
        <v>1.229348211</v>
      </c>
      <c r="G534" s="4">
        <v>18.899703259999999</v>
      </c>
      <c r="H534" s="2" t="s">
        <v>24</v>
      </c>
      <c r="I534" s="4">
        <v>54.978825739999998</v>
      </c>
      <c r="J534" s="4">
        <v>59.780788579999999</v>
      </c>
      <c r="K534" s="5">
        <v>21.293106510000001</v>
      </c>
      <c r="L534" s="3">
        <v>2</v>
      </c>
      <c r="M534" s="2" t="s">
        <v>762</v>
      </c>
      <c r="N534" s="2" t="s">
        <v>15</v>
      </c>
      <c r="O534" s="4">
        <v>0.50036984850282684</v>
      </c>
      <c r="P534" s="2" t="str">
        <f t="shared" si="8"/>
        <v>Low</v>
      </c>
    </row>
    <row r="535" spans="1:16" ht="20.100000000000001" customHeight="1" x14ac:dyDescent="0.3">
      <c r="A535" s="2" t="s">
        <v>390</v>
      </c>
      <c r="B535" s="2" t="s">
        <v>770</v>
      </c>
      <c r="C535" s="3">
        <v>85</v>
      </c>
      <c r="D535" s="2" t="s">
        <v>758</v>
      </c>
      <c r="E535" s="4">
        <v>47.197444689999998</v>
      </c>
      <c r="F535" s="4">
        <v>1.5512712820000001</v>
      </c>
      <c r="G535" s="4">
        <v>23.430022749999999</v>
      </c>
      <c r="H535" s="2" t="s">
        <v>28</v>
      </c>
      <c r="I535" s="4">
        <v>74.877487880000004</v>
      </c>
      <c r="J535" s="4">
        <v>94.073569489999997</v>
      </c>
      <c r="K535" s="5">
        <v>28.419941089999998</v>
      </c>
      <c r="L535" s="3">
        <v>7</v>
      </c>
      <c r="M535" s="2" t="s">
        <v>762</v>
      </c>
      <c r="N535" s="2" t="s">
        <v>18</v>
      </c>
      <c r="O535" s="4">
        <v>7.7010510004479569</v>
      </c>
      <c r="P535" s="2" t="str">
        <f t="shared" si="8"/>
        <v>Acceptable</v>
      </c>
    </row>
    <row r="536" spans="1:16" ht="20.100000000000001" customHeight="1" x14ac:dyDescent="0.3">
      <c r="A536" s="2" t="s">
        <v>391</v>
      </c>
      <c r="B536" s="2" t="s">
        <v>770</v>
      </c>
      <c r="C536" s="3">
        <v>75</v>
      </c>
      <c r="D536" s="2" t="s">
        <v>757</v>
      </c>
      <c r="E536" s="4">
        <v>64.450811580000007</v>
      </c>
      <c r="F536" s="4">
        <v>3.9988437509999999</v>
      </c>
      <c r="G536" s="4">
        <v>21.47178993</v>
      </c>
      <c r="H536" s="2" t="s">
        <v>17</v>
      </c>
      <c r="I536" s="4">
        <v>46.220436100000001</v>
      </c>
      <c r="J536" s="4">
        <v>89.438991580000007</v>
      </c>
      <c r="K536" s="5">
        <v>18.966955540000001</v>
      </c>
      <c r="L536" s="3">
        <v>1</v>
      </c>
      <c r="M536" s="2" t="s">
        <v>762</v>
      </c>
      <c r="N536" s="2" t="s">
        <v>15</v>
      </c>
      <c r="O536" s="4">
        <v>20.891032320009426</v>
      </c>
      <c r="P536" s="2" t="str">
        <f t="shared" si="8"/>
        <v>Outstanding</v>
      </c>
    </row>
    <row r="537" spans="1:16" ht="20.100000000000001" customHeight="1" x14ac:dyDescent="0.3">
      <c r="A537" s="2" t="s">
        <v>392</v>
      </c>
      <c r="B537" s="2" t="s">
        <v>22</v>
      </c>
      <c r="C537" s="3">
        <v>85</v>
      </c>
      <c r="D537" s="2" t="s">
        <v>761</v>
      </c>
      <c r="E537" s="4">
        <v>37.847297300000001</v>
      </c>
      <c r="F537" s="4">
        <v>2.262536221</v>
      </c>
      <c r="G537" s="4">
        <v>2.826146252</v>
      </c>
      <c r="H537" s="2" t="s">
        <v>24</v>
      </c>
      <c r="I537" s="4">
        <v>55.251805070000003</v>
      </c>
      <c r="J537" s="4">
        <v>101.7019615</v>
      </c>
      <c r="K537" s="5">
        <v>24.381930400000002</v>
      </c>
      <c r="L537" s="3">
        <v>4</v>
      </c>
      <c r="M537" s="2" t="s">
        <v>763</v>
      </c>
      <c r="N537" s="2" t="s">
        <v>18</v>
      </c>
      <c r="O537" s="4">
        <v>14.94310948032059</v>
      </c>
      <c r="P537" s="2" t="str">
        <f t="shared" si="8"/>
        <v>Superior</v>
      </c>
    </row>
    <row r="538" spans="1:16" ht="20.100000000000001" customHeight="1" x14ac:dyDescent="0.3">
      <c r="A538" s="2" t="s">
        <v>393</v>
      </c>
      <c r="B538" s="2" t="s">
        <v>22</v>
      </c>
      <c r="C538" s="3">
        <v>62</v>
      </c>
      <c r="D538" s="2" t="s">
        <v>757</v>
      </c>
      <c r="E538" s="4">
        <v>79.263184519999996</v>
      </c>
      <c r="F538" s="4">
        <v>0.62016259900000004</v>
      </c>
      <c r="G538" s="4">
        <v>27.645089550000002</v>
      </c>
      <c r="H538" s="2" t="s">
        <v>14</v>
      </c>
      <c r="I538" s="4">
        <v>80.473599640000003</v>
      </c>
      <c r="J538" s="4">
        <v>81.061599520000001</v>
      </c>
      <c r="K538" s="5">
        <v>17.199181249999999</v>
      </c>
      <c r="L538" s="3">
        <v>7</v>
      </c>
      <c r="M538" s="2" t="s">
        <v>762</v>
      </c>
      <c r="N538" s="2" t="s">
        <v>15</v>
      </c>
      <c r="O538" s="4">
        <v>0.28896180651430181</v>
      </c>
      <c r="P538" s="2" t="str">
        <f t="shared" si="8"/>
        <v>Low</v>
      </c>
    </row>
    <row r="539" spans="1:16" ht="20.100000000000001" customHeight="1" x14ac:dyDescent="0.3">
      <c r="A539" s="2" t="s">
        <v>23</v>
      </c>
      <c r="B539" s="2" t="s">
        <v>771</v>
      </c>
      <c r="C539" s="3">
        <v>85</v>
      </c>
      <c r="D539" s="2" t="s">
        <v>758</v>
      </c>
      <c r="E539" s="4">
        <v>36.862139990000003</v>
      </c>
      <c r="F539" s="4">
        <v>3.539619026</v>
      </c>
      <c r="G539" s="4">
        <v>26.185187859999999</v>
      </c>
      <c r="H539" s="2" t="s">
        <v>14</v>
      </c>
      <c r="I539" s="4">
        <v>60.751780760000003</v>
      </c>
      <c r="J539" s="4">
        <v>70.796096899999995</v>
      </c>
      <c r="K539" s="5">
        <v>27.55133468</v>
      </c>
      <c r="L539" s="3">
        <v>4</v>
      </c>
      <c r="M539" s="2" t="s">
        <v>763</v>
      </c>
      <c r="N539" s="2" t="s">
        <v>15</v>
      </c>
      <c r="O539" s="4">
        <v>3.1471673950802175</v>
      </c>
      <c r="P539" s="2" t="str">
        <f t="shared" si="8"/>
        <v>Acceptable</v>
      </c>
    </row>
    <row r="540" spans="1:16" ht="20.100000000000001" customHeight="1" x14ac:dyDescent="0.3">
      <c r="A540" s="2" t="s">
        <v>394</v>
      </c>
      <c r="B540" s="2" t="s">
        <v>22</v>
      </c>
      <c r="C540" s="3">
        <v>62</v>
      </c>
      <c r="D540" s="2" t="s">
        <v>759</v>
      </c>
      <c r="E540" s="4">
        <v>28.68467334</v>
      </c>
      <c r="F540" s="4">
        <v>3.2465728989999998</v>
      </c>
      <c r="G540" s="4">
        <v>16.487468100000001</v>
      </c>
      <c r="H540" s="2" t="s">
        <v>24</v>
      </c>
      <c r="I540" s="4">
        <v>13.89246256</v>
      </c>
      <c r="J540" s="4">
        <v>81.568703999999997</v>
      </c>
      <c r="K540" s="5">
        <v>2.8751587349999999</v>
      </c>
      <c r="L540" s="3">
        <v>6</v>
      </c>
      <c r="M540" s="2" t="s">
        <v>762</v>
      </c>
      <c r="N540" s="2" t="s">
        <v>15</v>
      </c>
      <c r="O540" s="4">
        <v>12.035879447229302</v>
      </c>
      <c r="P540" s="2" t="str">
        <f t="shared" si="8"/>
        <v>Superior</v>
      </c>
    </row>
    <row r="541" spans="1:16" ht="20.100000000000001" customHeight="1" x14ac:dyDescent="0.3">
      <c r="A541" s="2" t="s">
        <v>395</v>
      </c>
      <c r="B541" s="2" t="s">
        <v>770</v>
      </c>
      <c r="C541" s="3">
        <v>100</v>
      </c>
      <c r="D541" s="2" t="s">
        <v>759</v>
      </c>
      <c r="E541" s="4">
        <v>56.657563699999997</v>
      </c>
      <c r="F541" s="4">
        <v>0.61320850800000004</v>
      </c>
      <c r="G541" s="4">
        <v>21.0697714</v>
      </c>
      <c r="H541" s="2" t="s">
        <v>28</v>
      </c>
      <c r="I541" s="4">
        <v>84.615261419999996</v>
      </c>
      <c r="J541" s="4">
        <v>88.995628929999995</v>
      </c>
      <c r="K541" s="5">
        <v>17.367661720000001</v>
      </c>
      <c r="L541" s="3">
        <v>0</v>
      </c>
      <c r="M541" s="2" t="s">
        <v>762</v>
      </c>
      <c r="N541" s="2" t="s">
        <v>18</v>
      </c>
      <c r="O541" s="4">
        <v>2.4818095122723536</v>
      </c>
      <c r="P541" s="2" t="str">
        <f t="shared" si="8"/>
        <v>Low</v>
      </c>
    </row>
    <row r="542" spans="1:16" ht="20.100000000000001" customHeight="1" x14ac:dyDescent="0.3">
      <c r="A542" s="2" t="s">
        <v>396</v>
      </c>
      <c r="B542" s="2" t="s">
        <v>768</v>
      </c>
      <c r="C542" s="3">
        <v>50</v>
      </c>
      <c r="D542" s="2" t="s">
        <v>757</v>
      </c>
      <c r="E542" s="4">
        <v>5.5837977700000003</v>
      </c>
      <c r="F542" s="4">
        <v>2.833926983</v>
      </c>
      <c r="G542" s="4">
        <v>35.820845759999997</v>
      </c>
      <c r="H542" s="2" t="s">
        <v>24</v>
      </c>
      <c r="I542" s="4">
        <v>68.597113030000003</v>
      </c>
      <c r="J542" s="4">
        <v>95.588255309999994</v>
      </c>
      <c r="K542" s="5">
        <v>16.510934639999999</v>
      </c>
      <c r="L542" s="3">
        <v>3</v>
      </c>
      <c r="M542" s="2" t="s">
        <v>762</v>
      </c>
      <c r="N542" s="2" t="s">
        <v>18</v>
      </c>
      <c r="O542" s="4">
        <v>0.75356540036408337</v>
      </c>
      <c r="P542" s="2" t="str">
        <f t="shared" si="8"/>
        <v>Low</v>
      </c>
    </row>
    <row r="543" spans="1:16" ht="20.100000000000001" customHeight="1" x14ac:dyDescent="0.3">
      <c r="A543" s="2" t="s">
        <v>397</v>
      </c>
      <c r="B543" s="2" t="s">
        <v>770</v>
      </c>
      <c r="C543" s="3">
        <v>75</v>
      </c>
      <c r="D543" s="2" t="s">
        <v>757</v>
      </c>
      <c r="E543" s="4">
        <v>58.281853730000002</v>
      </c>
      <c r="F543" s="4">
        <v>2.2809429680000002</v>
      </c>
      <c r="G543" s="4">
        <v>32.976500059999999</v>
      </c>
      <c r="H543" s="2" t="s">
        <v>24</v>
      </c>
      <c r="I543" s="4">
        <v>34.459615540000001</v>
      </c>
      <c r="J543" s="4">
        <v>84.487788080000001</v>
      </c>
      <c r="K543" s="5">
        <v>26.126200969999999</v>
      </c>
      <c r="L543" s="3">
        <v>5.4897001520000002</v>
      </c>
      <c r="M543" s="2" t="s">
        <v>762</v>
      </c>
      <c r="N543" s="2" t="s">
        <v>15</v>
      </c>
      <c r="O543" s="4">
        <v>21.868009757666123</v>
      </c>
      <c r="P543" s="2" t="str">
        <f t="shared" si="8"/>
        <v>Outstanding</v>
      </c>
    </row>
    <row r="544" spans="1:16" ht="20.100000000000001" customHeight="1" x14ac:dyDescent="0.3">
      <c r="A544" s="2" t="s">
        <v>398</v>
      </c>
      <c r="B544" s="2" t="s">
        <v>770</v>
      </c>
      <c r="C544" s="3">
        <v>50</v>
      </c>
      <c r="D544" s="2" t="s">
        <v>761</v>
      </c>
      <c r="E544" s="4">
        <v>47.888624669999999</v>
      </c>
      <c r="F544" s="4">
        <v>4.2283057380000004</v>
      </c>
      <c r="G544" s="4">
        <v>26.42521897</v>
      </c>
      <c r="H544" s="2" t="s">
        <v>24</v>
      </c>
      <c r="I544" s="4">
        <v>82.180397549999995</v>
      </c>
      <c r="J544" s="4">
        <v>83.008804889999993</v>
      </c>
      <c r="K544" s="5">
        <v>36.408809810000001</v>
      </c>
      <c r="L544" s="3">
        <v>5</v>
      </c>
      <c r="M544" s="2" t="s">
        <v>762</v>
      </c>
      <c r="N544" s="2" t="s">
        <v>15</v>
      </c>
      <c r="O544" s="4">
        <v>0.19835644089566495</v>
      </c>
      <c r="P544" s="2" t="str">
        <f t="shared" si="8"/>
        <v>Low</v>
      </c>
    </row>
    <row r="545" spans="1:16" ht="20.100000000000001" customHeight="1" x14ac:dyDescent="0.3">
      <c r="A545" s="2" t="s">
        <v>399</v>
      </c>
      <c r="B545" s="2" t="s">
        <v>769</v>
      </c>
      <c r="C545" s="3">
        <v>62</v>
      </c>
      <c r="D545" s="2" t="s">
        <v>759</v>
      </c>
      <c r="E545" s="4">
        <v>12.1284844</v>
      </c>
      <c r="F545" s="4">
        <v>2.9543055329999999</v>
      </c>
      <c r="G545" s="4">
        <v>9.5821586819999993</v>
      </c>
      <c r="H545" s="2" t="s">
        <v>17</v>
      </c>
      <c r="I545" s="4">
        <v>48.947886009999998</v>
      </c>
      <c r="J545" s="4">
        <v>77.676197709999997</v>
      </c>
      <c r="K545" s="5">
        <v>23.619396269999999</v>
      </c>
      <c r="L545" s="3">
        <v>2</v>
      </c>
      <c r="M545" s="2" t="s">
        <v>764</v>
      </c>
      <c r="N545" s="2" t="s">
        <v>18</v>
      </c>
      <c r="O545" s="4">
        <v>2.1602714578090825</v>
      </c>
      <c r="P545" s="2" t="str">
        <f t="shared" si="8"/>
        <v>Low</v>
      </c>
    </row>
    <row r="546" spans="1:16" ht="20.100000000000001" customHeight="1" x14ac:dyDescent="0.3">
      <c r="A546" s="2" t="s">
        <v>400</v>
      </c>
      <c r="B546" s="2" t="s">
        <v>22</v>
      </c>
      <c r="C546" s="3">
        <v>75</v>
      </c>
      <c r="D546" s="2" t="s">
        <v>758</v>
      </c>
      <c r="E546" s="4">
        <v>45.90925215</v>
      </c>
      <c r="F546" s="4">
        <v>0.70873854599999997</v>
      </c>
      <c r="G546" s="4">
        <v>26.3121504</v>
      </c>
      <c r="H546" s="2" t="s">
        <v>28</v>
      </c>
      <c r="I546" s="4">
        <v>40.716117259999997</v>
      </c>
      <c r="J546" s="4">
        <v>97.288464779999998</v>
      </c>
      <c r="K546" s="5">
        <v>28.403851509999999</v>
      </c>
      <c r="L546" s="3">
        <v>5</v>
      </c>
      <c r="M546" s="2" t="s">
        <v>763</v>
      </c>
      <c r="N546" s="2" t="s">
        <v>15</v>
      </c>
      <c r="O546" s="4">
        <v>19.478956252598305</v>
      </c>
      <c r="P546" s="2" t="str">
        <f t="shared" si="8"/>
        <v>Superior</v>
      </c>
    </row>
    <row r="547" spans="1:16" ht="20.100000000000001" customHeight="1" x14ac:dyDescent="0.3">
      <c r="A547" s="2" t="s">
        <v>401</v>
      </c>
      <c r="B547" s="2" t="s">
        <v>22</v>
      </c>
      <c r="C547" s="3">
        <v>85</v>
      </c>
      <c r="D547" s="2" t="s">
        <v>760</v>
      </c>
      <c r="E547" s="4">
        <v>23.222634379999999</v>
      </c>
      <c r="F547" s="4">
        <v>0.65648596100000001</v>
      </c>
      <c r="G547" s="4">
        <v>5.4067180239999999</v>
      </c>
      <c r="H547" s="2" t="s">
        <v>24</v>
      </c>
      <c r="I547" s="4">
        <v>17.513436630000001</v>
      </c>
      <c r="J547" s="4">
        <v>97.238313300000002</v>
      </c>
      <c r="K547" s="5">
        <v>22.910199500000001</v>
      </c>
      <c r="L547" s="3">
        <v>0</v>
      </c>
      <c r="M547" s="2" t="s">
        <v>762</v>
      </c>
      <c r="N547" s="2" t="s">
        <v>21</v>
      </c>
      <c r="O547" s="4">
        <v>15.737084126133018</v>
      </c>
      <c r="P547" s="2" t="str">
        <f t="shared" si="8"/>
        <v>Superior</v>
      </c>
    </row>
    <row r="548" spans="1:16" ht="20.100000000000001" customHeight="1" x14ac:dyDescent="0.3">
      <c r="A548" s="2" t="s">
        <v>59</v>
      </c>
      <c r="B548" s="2" t="s">
        <v>769</v>
      </c>
      <c r="C548" s="3">
        <v>75</v>
      </c>
      <c r="D548" s="2" t="s">
        <v>758</v>
      </c>
      <c r="E548" s="4">
        <v>61.130475830000002</v>
      </c>
      <c r="F548" s="4">
        <v>0.94727720900000001</v>
      </c>
      <c r="G548" s="4">
        <v>23.281804959999999</v>
      </c>
      <c r="H548" s="2" t="s">
        <v>14</v>
      </c>
      <c r="I548" s="4">
        <v>34.899043749999997</v>
      </c>
      <c r="J548" s="4">
        <v>92.355661170000005</v>
      </c>
      <c r="K548" s="5">
        <v>7.6626497090000001</v>
      </c>
      <c r="L548" s="3">
        <v>1</v>
      </c>
      <c r="M548" s="2" t="s">
        <v>764</v>
      </c>
      <c r="N548" s="2" t="s">
        <v>21</v>
      </c>
      <c r="O548" s="4">
        <v>26.342627718501507</v>
      </c>
      <c r="P548" s="2" t="str">
        <f t="shared" si="8"/>
        <v>Outstanding</v>
      </c>
    </row>
    <row r="549" spans="1:16" ht="20.100000000000001" customHeight="1" x14ac:dyDescent="0.3">
      <c r="A549" s="2" t="s">
        <v>402</v>
      </c>
      <c r="B549" s="2" t="s">
        <v>22</v>
      </c>
      <c r="C549" s="3">
        <v>75</v>
      </c>
      <c r="D549" s="2" t="s">
        <v>759</v>
      </c>
      <c r="E549" s="4">
        <v>26.493008140000001</v>
      </c>
      <c r="F549" s="4">
        <v>2.1172041460000002</v>
      </c>
      <c r="G549" s="4">
        <v>7.1487904459999996</v>
      </c>
      <c r="H549" s="2" t="s">
        <v>14</v>
      </c>
      <c r="I549" s="4">
        <v>55.39403574</v>
      </c>
      <c r="J549" s="4">
        <v>56.752399939999997</v>
      </c>
      <c r="K549" s="5">
        <v>19.67904953</v>
      </c>
      <c r="L549" s="3">
        <v>5</v>
      </c>
      <c r="M549" s="2" t="s">
        <v>762</v>
      </c>
      <c r="N549" s="2" t="s">
        <v>21</v>
      </c>
      <c r="O549" s="4">
        <v>0.26990365355763379</v>
      </c>
      <c r="P549" s="2" t="str">
        <f t="shared" si="8"/>
        <v>Low</v>
      </c>
    </row>
    <row r="550" spans="1:16" ht="20.100000000000001" customHeight="1" x14ac:dyDescent="0.3">
      <c r="A550" s="2" t="s">
        <v>403</v>
      </c>
      <c r="B550" s="2" t="s">
        <v>768</v>
      </c>
      <c r="C550" s="3">
        <v>50</v>
      </c>
      <c r="D550" s="2" t="s">
        <v>758</v>
      </c>
      <c r="E550" s="4">
        <v>55.302730560000001</v>
      </c>
      <c r="F550" s="4">
        <v>2.5445660590000001</v>
      </c>
      <c r="G550" s="4">
        <v>37.347460810000001</v>
      </c>
      <c r="H550" s="2" t="s">
        <v>17</v>
      </c>
      <c r="I550" s="4">
        <v>71.916646380000003</v>
      </c>
      <c r="J550" s="4">
        <v>88.375241939999995</v>
      </c>
      <c r="K550" s="5">
        <v>30.188439160000001</v>
      </c>
      <c r="L550" s="3">
        <v>1</v>
      </c>
      <c r="M550" s="2" t="s">
        <v>763</v>
      </c>
      <c r="N550" s="2" t="s">
        <v>15</v>
      </c>
      <c r="O550" s="4">
        <v>4.551026378253459</v>
      </c>
      <c r="P550" s="2" t="str">
        <f t="shared" si="8"/>
        <v>Acceptable</v>
      </c>
    </row>
    <row r="551" spans="1:16" ht="20.100000000000001" customHeight="1" x14ac:dyDescent="0.3">
      <c r="A551" s="2" t="s">
        <v>404</v>
      </c>
      <c r="B551" s="2" t="s">
        <v>770</v>
      </c>
      <c r="C551" s="3">
        <v>42.223964260000002</v>
      </c>
      <c r="D551" s="2" t="s">
        <v>761</v>
      </c>
      <c r="E551" s="4">
        <v>62.634009900000002</v>
      </c>
      <c r="F551" s="4">
        <v>1.3061013640000001</v>
      </c>
      <c r="G551" s="4">
        <v>37.574547709999997</v>
      </c>
      <c r="H551" s="2" t="s">
        <v>14</v>
      </c>
      <c r="I551" s="4">
        <v>69.883029010000001</v>
      </c>
      <c r="J551" s="4">
        <v>89.70899824</v>
      </c>
      <c r="K551" s="5">
        <v>1.195422059</v>
      </c>
      <c r="L551" s="3">
        <v>1</v>
      </c>
      <c r="M551" s="2" t="s">
        <v>762</v>
      </c>
      <c r="N551" s="2" t="s">
        <v>15</v>
      </c>
      <c r="O551" s="4">
        <v>5.24328723554774</v>
      </c>
      <c r="P551" s="2" t="str">
        <f t="shared" si="8"/>
        <v>Acceptable</v>
      </c>
    </row>
    <row r="552" spans="1:16" ht="20.100000000000001" customHeight="1" x14ac:dyDescent="0.3">
      <c r="A552" s="2" t="s">
        <v>405</v>
      </c>
      <c r="B552" s="2" t="s">
        <v>768</v>
      </c>
      <c r="C552" s="3">
        <v>7.7145168540000002</v>
      </c>
      <c r="D552" s="2" t="s">
        <v>758</v>
      </c>
      <c r="E552" s="4">
        <v>36.229412760000002</v>
      </c>
      <c r="F552" s="4">
        <v>1.885689028</v>
      </c>
      <c r="G552" s="4">
        <v>11.09306321</v>
      </c>
      <c r="H552" s="2" t="s">
        <v>14</v>
      </c>
      <c r="I552" s="4">
        <v>43.356673919999999</v>
      </c>
      <c r="J552" s="4">
        <v>91.940316749999994</v>
      </c>
      <c r="K552" s="5">
        <v>17.396825809999999</v>
      </c>
      <c r="L552" s="3">
        <v>1</v>
      </c>
      <c r="M552" s="2" t="s">
        <v>763</v>
      </c>
      <c r="N552" s="2" t="s">
        <v>18</v>
      </c>
      <c r="O552" s="4">
        <v>1.3578759680939021</v>
      </c>
      <c r="P552" s="2" t="str">
        <f t="shared" si="8"/>
        <v>Low</v>
      </c>
    </row>
    <row r="553" spans="1:16" ht="20.100000000000001" customHeight="1" x14ac:dyDescent="0.3">
      <c r="A553" s="2" t="s">
        <v>406</v>
      </c>
      <c r="B553" s="2" t="s">
        <v>771</v>
      </c>
      <c r="C553" s="3">
        <v>75</v>
      </c>
      <c r="D553" s="2" t="s">
        <v>759</v>
      </c>
      <c r="E553" s="4">
        <v>28.248510230000001</v>
      </c>
      <c r="F553" s="4">
        <v>2.573551149</v>
      </c>
      <c r="G553" s="4">
        <v>26.64017685</v>
      </c>
      <c r="H553" s="2" t="s">
        <v>17</v>
      </c>
      <c r="I553" s="4">
        <v>53.820036729999998</v>
      </c>
      <c r="J553" s="4">
        <v>67.233163730000001</v>
      </c>
      <c r="K553" s="5">
        <v>16.694086240000001</v>
      </c>
      <c r="L553" s="3">
        <v>6</v>
      </c>
      <c r="M553" s="2" t="s">
        <v>762</v>
      </c>
      <c r="N553" s="2" t="s">
        <v>18</v>
      </c>
      <c r="O553" s="4">
        <v>2.8417564145684198</v>
      </c>
      <c r="P553" s="2" t="str">
        <f t="shared" si="8"/>
        <v>Low</v>
      </c>
    </row>
    <row r="554" spans="1:16" ht="20.100000000000001" customHeight="1" x14ac:dyDescent="0.3">
      <c r="A554" s="2" t="s">
        <v>60</v>
      </c>
      <c r="B554" s="2" t="s">
        <v>769</v>
      </c>
      <c r="C554" s="3">
        <v>85</v>
      </c>
      <c r="D554" s="2" t="s">
        <v>757</v>
      </c>
      <c r="E554" s="4">
        <v>22.882038420000001</v>
      </c>
      <c r="F554" s="4">
        <v>1.5694707139999999</v>
      </c>
      <c r="G554" s="4">
        <v>29.9892225</v>
      </c>
      <c r="H554" s="2" t="s">
        <v>14</v>
      </c>
      <c r="I554" s="4">
        <v>15.67448547</v>
      </c>
      <c r="J554" s="4">
        <v>96.597702420000005</v>
      </c>
      <c r="K554" s="5">
        <v>19.21316449</v>
      </c>
      <c r="L554" s="3">
        <v>3</v>
      </c>
      <c r="M554" s="2" t="s">
        <v>764</v>
      </c>
      <c r="N554" s="2" t="s">
        <v>15</v>
      </c>
      <c r="O554" s="4">
        <v>15.739349354219112</v>
      </c>
      <c r="P554" s="2" t="str">
        <f t="shared" si="8"/>
        <v>Superior</v>
      </c>
    </row>
    <row r="555" spans="1:16" ht="20.100000000000001" customHeight="1" x14ac:dyDescent="0.3">
      <c r="A555" s="2" t="s">
        <v>407</v>
      </c>
      <c r="B555" s="2" t="s">
        <v>770</v>
      </c>
      <c r="C555" s="3">
        <v>62</v>
      </c>
      <c r="D555" s="2" t="s">
        <v>760</v>
      </c>
      <c r="E555" s="4">
        <v>53.189887650000003</v>
      </c>
      <c r="F555" s="4">
        <v>1.9014576139999999</v>
      </c>
      <c r="G555" s="4">
        <v>4.875602271</v>
      </c>
      <c r="H555" s="2" t="s">
        <v>28</v>
      </c>
      <c r="I555" s="4">
        <v>59.103916720000001</v>
      </c>
      <c r="J555" s="4">
        <v>95.230174180000006</v>
      </c>
      <c r="K555" s="5">
        <v>37.395109150000003</v>
      </c>
      <c r="L555" s="3">
        <v>7</v>
      </c>
      <c r="M555" s="2" t="s">
        <v>762</v>
      </c>
      <c r="N555" s="2" t="s">
        <v>18</v>
      </c>
      <c r="O555" s="4">
        <v>11.913619768176725</v>
      </c>
      <c r="P555" s="2" t="str">
        <f t="shared" si="8"/>
        <v>Superior</v>
      </c>
    </row>
    <row r="556" spans="1:16" ht="20.100000000000001" customHeight="1" x14ac:dyDescent="0.3">
      <c r="A556" s="2" t="s">
        <v>408</v>
      </c>
      <c r="B556" s="2" t="s">
        <v>769</v>
      </c>
      <c r="C556" s="3">
        <v>62</v>
      </c>
      <c r="D556" s="2" t="s">
        <v>759</v>
      </c>
      <c r="E556" s="4">
        <v>63.971966940000002</v>
      </c>
      <c r="F556" s="4">
        <v>1.981509709</v>
      </c>
      <c r="G556" s="4">
        <v>41.348897450000003</v>
      </c>
      <c r="H556" s="2" t="s">
        <v>17</v>
      </c>
      <c r="I556" s="4">
        <v>54.84308704</v>
      </c>
      <c r="J556" s="4">
        <v>99.130495350000004</v>
      </c>
      <c r="K556" s="5">
        <v>9.1925147599999999</v>
      </c>
      <c r="L556" s="3">
        <v>0.68988665400000004</v>
      </c>
      <c r="M556" s="2" t="s">
        <v>764</v>
      </c>
      <c r="N556" s="2" t="s">
        <v>15</v>
      </c>
      <c r="O556" s="4">
        <v>17.565546245646729</v>
      </c>
      <c r="P556" s="2" t="str">
        <f t="shared" si="8"/>
        <v>Superior</v>
      </c>
    </row>
    <row r="557" spans="1:16" ht="20.100000000000001" customHeight="1" x14ac:dyDescent="0.3">
      <c r="A557" s="2" t="s">
        <v>409</v>
      </c>
      <c r="B557" s="2" t="s">
        <v>769</v>
      </c>
      <c r="C557" s="3">
        <v>75</v>
      </c>
      <c r="D557" s="2" t="s">
        <v>760</v>
      </c>
      <c r="E557" s="4">
        <v>48.663555209999998</v>
      </c>
      <c r="F557" s="4">
        <v>1.756271661</v>
      </c>
      <c r="G557" s="4">
        <v>36.323727750000003</v>
      </c>
      <c r="H557" s="2" t="s">
        <v>24</v>
      </c>
      <c r="I557" s="4">
        <v>49.282689589999997</v>
      </c>
      <c r="J557" s="4">
        <v>91.746032159999999</v>
      </c>
      <c r="K557" s="5">
        <v>21.01240559</v>
      </c>
      <c r="L557" s="3">
        <v>0</v>
      </c>
      <c r="M557" s="2" t="s">
        <v>762</v>
      </c>
      <c r="N557" s="2" t="s">
        <v>21</v>
      </c>
      <c r="O557" s="4">
        <v>15.498129116672537</v>
      </c>
      <c r="P557" s="2" t="str">
        <f t="shared" si="8"/>
        <v>Superior</v>
      </c>
    </row>
    <row r="558" spans="1:16" ht="20.100000000000001" customHeight="1" x14ac:dyDescent="0.3">
      <c r="A558" s="2" t="s">
        <v>410</v>
      </c>
      <c r="B558" s="2" t="s">
        <v>768</v>
      </c>
      <c r="C558" s="3">
        <v>75</v>
      </c>
      <c r="D558" s="2" t="s">
        <v>760</v>
      </c>
      <c r="E558" s="4">
        <v>51.161768790000004</v>
      </c>
      <c r="F558" s="4">
        <v>1.9245725359999999</v>
      </c>
      <c r="G558" s="4">
        <v>14.898359210000001</v>
      </c>
      <c r="H558" s="2" t="s">
        <v>24</v>
      </c>
      <c r="I558" s="4">
        <v>40.359112449999998</v>
      </c>
      <c r="J558" s="4">
        <v>79.596007020000002</v>
      </c>
      <c r="K558" s="5">
        <v>31.563179989999998</v>
      </c>
      <c r="L558" s="3">
        <v>11.68859247</v>
      </c>
      <c r="M558" s="2" t="s">
        <v>764</v>
      </c>
      <c r="N558" s="2" t="s">
        <v>18</v>
      </c>
      <c r="O558" s="4">
        <v>15.055716960209601</v>
      </c>
      <c r="P558" s="2" t="str">
        <f t="shared" si="8"/>
        <v>Superior</v>
      </c>
    </row>
    <row r="559" spans="1:16" ht="20.100000000000001" customHeight="1" x14ac:dyDescent="0.3">
      <c r="A559" s="2" t="s">
        <v>411</v>
      </c>
      <c r="B559" s="2" t="s">
        <v>22</v>
      </c>
      <c r="C559" s="3">
        <v>75</v>
      </c>
      <c r="D559" s="2" t="s">
        <v>758</v>
      </c>
      <c r="E559" s="4">
        <v>68.244653209999996</v>
      </c>
      <c r="F559" s="4">
        <v>3.3755705090000001</v>
      </c>
      <c r="G559" s="4">
        <v>49.361251099999997</v>
      </c>
      <c r="H559" s="2" t="s">
        <v>14</v>
      </c>
      <c r="I559" s="4">
        <v>57.907994899999998</v>
      </c>
      <c r="J559" s="4">
        <v>88.309384170000001</v>
      </c>
      <c r="K559" s="5">
        <v>14.82620373</v>
      </c>
      <c r="L559" s="3">
        <v>2</v>
      </c>
      <c r="M559" s="2" t="s">
        <v>762</v>
      </c>
      <c r="N559" s="2" t="s">
        <v>21</v>
      </c>
      <c r="O559" s="4">
        <v>15.560492008750236</v>
      </c>
      <c r="P559" s="2" t="str">
        <f t="shared" si="8"/>
        <v>Superior</v>
      </c>
    </row>
    <row r="560" spans="1:16" ht="20.100000000000001" customHeight="1" x14ac:dyDescent="0.3">
      <c r="A560" s="2" t="s">
        <v>412</v>
      </c>
      <c r="B560" s="2" t="s">
        <v>22</v>
      </c>
      <c r="C560" s="3">
        <v>75</v>
      </c>
      <c r="D560" s="2" t="s">
        <v>761</v>
      </c>
      <c r="E560" s="4">
        <v>56.552927519999997</v>
      </c>
      <c r="F560" s="4">
        <v>2.621035258</v>
      </c>
      <c r="G560" s="4">
        <v>4.3400985319999998</v>
      </c>
      <c r="H560" s="2" t="s">
        <v>28</v>
      </c>
      <c r="I560" s="4">
        <v>29.26035319</v>
      </c>
      <c r="J560" s="4">
        <v>88.253119889999994</v>
      </c>
      <c r="K560" s="5">
        <v>10.51156168</v>
      </c>
      <c r="L560" s="3">
        <v>6</v>
      </c>
      <c r="M560" s="2" t="s">
        <v>763</v>
      </c>
      <c r="N560" s="2" t="s">
        <v>21</v>
      </c>
      <c r="O560" s="4">
        <v>25.021602445420264</v>
      </c>
      <c r="P560" s="2" t="str">
        <f t="shared" si="8"/>
        <v>Outstanding</v>
      </c>
    </row>
    <row r="561" spans="1:16" ht="20.100000000000001" customHeight="1" x14ac:dyDescent="0.3">
      <c r="A561" s="2" t="s">
        <v>413</v>
      </c>
      <c r="B561" s="2" t="s">
        <v>770</v>
      </c>
      <c r="C561" s="3">
        <v>85</v>
      </c>
      <c r="D561" s="2" t="s">
        <v>761</v>
      </c>
      <c r="E561" s="4">
        <v>16.827771590000001</v>
      </c>
      <c r="F561" s="4">
        <v>2.7388169439999999</v>
      </c>
      <c r="G561" s="4">
        <v>14.51128231</v>
      </c>
      <c r="H561" s="2" t="s">
        <v>17</v>
      </c>
      <c r="I561" s="4">
        <v>30.615241990000001</v>
      </c>
      <c r="J561" s="4">
        <v>82.460981680000003</v>
      </c>
      <c r="K561" s="5">
        <v>25.964996849999999</v>
      </c>
      <c r="L561" s="3">
        <v>6</v>
      </c>
      <c r="M561" s="2" t="s">
        <v>762</v>
      </c>
      <c r="N561" s="2" t="s">
        <v>21</v>
      </c>
      <c r="O561" s="4">
        <v>7.4158102560522989</v>
      </c>
      <c r="P561" s="2" t="str">
        <f t="shared" si="8"/>
        <v>Acceptable</v>
      </c>
    </row>
    <row r="562" spans="1:16" ht="20.100000000000001" customHeight="1" x14ac:dyDescent="0.3">
      <c r="A562" s="2" t="s">
        <v>414</v>
      </c>
      <c r="B562" s="2" t="s">
        <v>768</v>
      </c>
      <c r="C562" s="3">
        <v>100</v>
      </c>
      <c r="D562" s="2" t="s">
        <v>758</v>
      </c>
      <c r="E562" s="4">
        <v>6.0651617130000002</v>
      </c>
      <c r="F562" s="4">
        <v>3.5977655190000002</v>
      </c>
      <c r="G562" s="4">
        <v>46.623512089999998</v>
      </c>
      <c r="H562" s="2" t="s">
        <v>17</v>
      </c>
      <c r="I562" s="4">
        <v>19.646897289999998</v>
      </c>
      <c r="J562" s="4">
        <v>71.191002740000002</v>
      </c>
      <c r="K562" s="5">
        <v>27.29212704</v>
      </c>
      <c r="L562" s="3">
        <v>3.6970954090000001</v>
      </c>
      <c r="M562" s="2" t="s">
        <v>764</v>
      </c>
      <c r="N562" s="2" t="s">
        <v>21</v>
      </c>
      <c r="O562" s="4">
        <v>3.1262333490617467</v>
      </c>
      <c r="P562" s="2" t="str">
        <f t="shared" si="8"/>
        <v>Acceptable</v>
      </c>
    </row>
    <row r="563" spans="1:16" ht="20.100000000000001" customHeight="1" x14ac:dyDescent="0.3">
      <c r="A563" s="2" t="s">
        <v>61</v>
      </c>
      <c r="B563" s="2" t="s">
        <v>22</v>
      </c>
      <c r="C563" s="3">
        <v>59.832726510000001</v>
      </c>
      <c r="D563" s="2" t="s">
        <v>759</v>
      </c>
      <c r="E563" s="4">
        <v>12.89488719</v>
      </c>
      <c r="F563" s="4">
        <v>0.581504778</v>
      </c>
      <c r="G563" s="4">
        <v>40.884098899999998</v>
      </c>
      <c r="H563" s="2" t="s">
        <v>28</v>
      </c>
      <c r="I563" s="4">
        <v>31.549182200000001</v>
      </c>
      <c r="J563" s="4">
        <v>97.46254098</v>
      </c>
      <c r="K563" s="5">
        <v>28.637604320000001</v>
      </c>
      <c r="L563" s="3">
        <v>2</v>
      </c>
      <c r="M563" s="2" t="s">
        <v>762</v>
      </c>
      <c r="N563" s="2" t="s">
        <v>21</v>
      </c>
      <c r="O563" s="4">
        <v>5.0854546225973003</v>
      </c>
      <c r="P563" s="2" t="str">
        <f t="shared" si="8"/>
        <v>Acceptable</v>
      </c>
    </row>
    <row r="564" spans="1:16" ht="20.100000000000001" customHeight="1" x14ac:dyDescent="0.3">
      <c r="A564" s="2" t="s">
        <v>415</v>
      </c>
      <c r="B564" s="2" t="s">
        <v>769</v>
      </c>
      <c r="C564" s="3">
        <v>62</v>
      </c>
      <c r="D564" s="2" t="s">
        <v>759</v>
      </c>
      <c r="E564" s="4">
        <v>10.13770944</v>
      </c>
      <c r="F564" s="4">
        <v>1.582369812</v>
      </c>
      <c r="G564" s="4">
        <v>36.077844710000001</v>
      </c>
      <c r="H564" s="2" t="s">
        <v>14</v>
      </c>
      <c r="I564" s="4">
        <v>34.892126259999998</v>
      </c>
      <c r="J564" s="4">
        <v>99.871198669999998</v>
      </c>
      <c r="K564" s="5">
        <v>40.816740379999999</v>
      </c>
      <c r="L564" s="3">
        <v>1</v>
      </c>
      <c r="M564" s="2" t="s">
        <v>762</v>
      </c>
      <c r="N564" s="2" t="s">
        <v>15</v>
      </c>
      <c r="O564" s="4">
        <v>4.084181525794464</v>
      </c>
      <c r="P564" s="2" t="str">
        <f t="shared" si="8"/>
        <v>Acceptable</v>
      </c>
    </row>
    <row r="565" spans="1:16" ht="20.100000000000001" customHeight="1" x14ac:dyDescent="0.3">
      <c r="A565" s="2" t="s">
        <v>416</v>
      </c>
      <c r="B565" s="2" t="s">
        <v>22</v>
      </c>
      <c r="C565" s="3">
        <v>75</v>
      </c>
      <c r="D565" s="2" t="s">
        <v>757</v>
      </c>
      <c r="E565" s="4">
        <v>62.537610530000002</v>
      </c>
      <c r="F565" s="4">
        <v>3.111666692</v>
      </c>
      <c r="G565" s="4">
        <v>24.187852320000001</v>
      </c>
      <c r="H565" s="2" t="s">
        <v>14</v>
      </c>
      <c r="I565" s="4">
        <v>14.82380811</v>
      </c>
      <c r="J565" s="4">
        <v>69.84305861</v>
      </c>
      <c r="K565" s="5">
        <v>19.149838070000001</v>
      </c>
      <c r="L565" s="3">
        <v>5</v>
      </c>
      <c r="M565" s="2" t="s">
        <v>763</v>
      </c>
      <c r="N565" s="2" t="s">
        <v>15</v>
      </c>
      <c r="O565" s="4">
        <v>25.805793445661308</v>
      </c>
      <c r="P565" s="2" t="str">
        <f t="shared" si="8"/>
        <v>Outstanding</v>
      </c>
    </row>
    <row r="566" spans="1:16" ht="20.100000000000001" customHeight="1" x14ac:dyDescent="0.3">
      <c r="A566" s="2" t="s">
        <v>417</v>
      </c>
      <c r="B566" s="2" t="s">
        <v>22</v>
      </c>
      <c r="C566" s="3">
        <v>37.329713650000002</v>
      </c>
      <c r="D566" s="2" t="s">
        <v>757</v>
      </c>
      <c r="E566" s="4">
        <v>16.497212040000001</v>
      </c>
      <c r="F566" s="4">
        <v>1.8113551139999999</v>
      </c>
      <c r="G566" s="4">
        <v>9.5549569670000007</v>
      </c>
      <c r="H566" s="2" t="s">
        <v>14</v>
      </c>
      <c r="I566" s="4">
        <v>50.53193933</v>
      </c>
      <c r="J566" s="4">
        <v>93.953949410000007</v>
      </c>
      <c r="K566" s="5">
        <v>31.796549639999999</v>
      </c>
      <c r="L566" s="3">
        <v>0</v>
      </c>
      <c r="M566" s="2" t="s">
        <v>763</v>
      </c>
      <c r="N566" s="2" t="s">
        <v>21</v>
      </c>
      <c r="O566" s="4">
        <v>2.6740845748142901</v>
      </c>
      <c r="P566" s="2" t="str">
        <f t="shared" si="8"/>
        <v>Low</v>
      </c>
    </row>
    <row r="567" spans="1:16" ht="20.100000000000001" customHeight="1" x14ac:dyDescent="0.3">
      <c r="A567" s="2" t="s">
        <v>418</v>
      </c>
      <c r="B567" s="2" t="s">
        <v>771</v>
      </c>
      <c r="C567" s="3">
        <v>62</v>
      </c>
      <c r="D567" s="2" t="s">
        <v>758</v>
      </c>
      <c r="E567" s="4">
        <v>41.766648099999998</v>
      </c>
      <c r="F567" s="4">
        <v>4.5926905769999999</v>
      </c>
      <c r="G567" s="4">
        <v>21.833724029999999</v>
      </c>
      <c r="H567" s="2" t="s">
        <v>24</v>
      </c>
      <c r="I567" s="4">
        <v>42.358375619999997</v>
      </c>
      <c r="J567" s="4">
        <v>51.491725709999997</v>
      </c>
      <c r="K567" s="5">
        <v>38.812689200000001</v>
      </c>
      <c r="L567" s="3">
        <v>6</v>
      </c>
      <c r="M567" s="2" t="s">
        <v>762</v>
      </c>
      <c r="N567" s="2" t="s">
        <v>18</v>
      </c>
      <c r="O567" s="4">
        <v>2.365110398935427</v>
      </c>
      <c r="P567" s="2" t="str">
        <f t="shared" si="8"/>
        <v>Low</v>
      </c>
    </row>
    <row r="568" spans="1:16" ht="20.100000000000001" customHeight="1" x14ac:dyDescent="0.3">
      <c r="A568" s="2" t="s">
        <v>419</v>
      </c>
      <c r="B568" s="2" t="s">
        <v>771</v>
      </c>
      <c r="C568" s="3">
        <v>62</v>
      </c>
      <c r="D568" s="2" t="s">
        <v>761</v>
      </c>
      <c r="E568" s="4">
        <v>69.439177900000004</v>
      </c>
      <c r="F568" s="4">
        <v>3.659591614</v>
      </c>
      <c r="G568" s="4">
        <v>16.613387660000001</v>
      </c>
      <c r="H568" s="2" t="s">
        <v>14</v>
      </c>
      <c r="I568" s="4">
        <v>22.71259856</v>
      </c>
      <c r="J568" s="4">
        <v>50.798791440000002</v>
      </c>
      <c r="K568" s="5">
        <v>9.9942317599999999</v>
      </c>
      <c r="L568" s="3">
        <v>5</v>
      </c>
      <c r="M568" s="2" t="s">
        <v>763</v>
      </c>
      <c r="N568" s="2" t="s">
        <v>21</v>
      </c>
      <c r="O568" s="4">
        <v>12.091749292353809</v>
      </c>
      <c r="P568" s="2" t="str">
        <f t="shared" si="8"/>
        <v>Superior</v>
      </c>
    </row>
    <row r="569" spans="1:16" ht="20.100000000000001" customHeight="1" x14ac:dyDescent="0.3">
      <c r="A569" s="2" t="s">
        <v>62</v>
      </c>
      <c r="B569" s="2" t="s">
        <v>769</v>
      </c>
      <c r="C569" s="3">
        <v>85</v>
      </c>
      <c r="D569" s="2" t="s">
        <v>758</v>
      </c>
      <c r="E569" s="4">
        <v>69.169167060000007</v>
      </c>
      <c r="F569" s="4">
        <v>2.2852421610000002</v>
      </c>
      <c r="G569" s="4">
        <v>5.5573585090000002</v>
      </c>
      <c r="H569" s="2" t="s">
        <v>24</v>
      </c>
      <c r="I569" s="4">
        <v>41.089044870000002</v>
      </c>
      <c r="J569" s="4">
        <v>74.399518529999995</v>
      </c>
      <c r="K569" s="5">
        <v>20.014324469999998</v>
      </c>
      <c r="L569" s="3">
        <v>4</v>
      </c>
      <c r="M569" s="2" t="s">
        <v>762</v>
      </c>
      <c r="N569" s="2" t="s">
        <v>18</v>
      </c>
      <c r="O569" s="4">
        <v>19.584490598208291</v>
      </c>
      <c r="P569" s="2" t="str">
        <f t="shared" si="8"/>
        <v>Superior</v>
      </c>
    </row>
    <row r="570" spans="1:16" ht="20.100000000000001" customHeight="1" x14ac:dyDescent="0.3">
      <c r="A570" s="2" t="s">
        <v>420</v>
      </c>
      <c r="B570" s="2" t="s">
        <v>771</v>
      </c>
      <c r="C570" s="3">
        <v>81.368415830000004</v>
      </c>
      <c r="D570" s="2" t="s">
        <v>758</v>
      </c>
      <c r="E570" s="4">
        <v>57.977657890000003</v>
      </c>
      <c r="F570" s="4">
        <v>2.8590803130000002</v>
      </c>
      <c r="G570" s="4">
        <v>6.4991879350000001</v>
      </c>
      <c r="H570" s="2" t="s">
        <v>14</v>
      </c>
      <c r="I570" s="4">
        <v>58.308684999999997</v>
      </c>
      <c r="J570" s="4">
        <v>63.866105050000002</v>
      </c>
      <c r="K570" s="5">
        <v>7.6368503319999999</v>
      </c>
      <c r="L570" s="3">
        <v>5</v>
      </c>
      <c r="M570" s="2" t="s">
        <v>764</v>
      </c>
      <c r="N570" s="2" t="s">
        <v>21</v>
      </c>
      <c r="O570" s="4">
        <v>2.6217407935222421</v>
      </c>
      <c r="P570" s="2" t="str">
        <f t="shared" si="8"/>
        <v>Low</v>
      </c>
    </row>
    <row r="571" spans="1:16" ht="20.100000000000001" customHeight="1" x14ac:dyDescent="0.3">
      <c r="A571" s="2" t="s">
        <v>421</v>
      </c>
      <c r="B571" s="2" t="s">
        <v>768</v>
      </c>
      <c r="C571" s="3">
        <v>100</v>
      </c>
      <c r="D571" s="2" t="s">
        <v>760</v>
      </c>
      <c r="E571" s="4">
        <v>40.319061980000001</v>
      </c>
      <c r="F571" s="4">
        <v>1.7436069249999999</v>
      </c>
      <c r="G571" s="4">
        <v>11.76785057</v>
      </c>
      <c r="H571" s="2" t="s">
        <v>14</v>
      </c>
      <c r="I571" s="4">
        <v>31.09308905</v>
      </c>
      <c r="J571" s="4">
        <v>86.584959499999997</v>
      </c>
      <c r="K571" s="5">
        <v>0.534567342</v>
      </c>
      <c r="L571" s="3">
        <v>7</v>
      </c>
      <c r="M571" s="2" t="s">
        <v>762</v>
      </c>
      <c r="N571" s="2" t="s">
        <v>18</v>
      </c>
      <c r="O571" s="4">
        <v>22.373801640596803</v>
      </c>
      <c r="P571" s="2" t="str">
        <f t="shared" si="8"/>
        <v>Outstanding</v>
      </c>
    </row>
    <row r="572" spans="1:16" ht="20.100000000000001" customHeight="1" x14ac:dyDescent="0.3">
      <c r="A572" s="2" t="s">
        <v>422</v>
      </c>
      <c r="B572" s="2" t="s">
        <v>770</v>
      </c>
      <c r="C572" s="3">
        <v>50</v>
      </c>
      <c r="D572" s="2" t="s">
        <v>761</v>
      </c>
      <c r="E572" s="4">
        <v>47.19807479</v>
      </c>
      <c r="F572" s="4">
        <v>2.861382946</v>
      </c>
      <c r="G572" s="4">
        <v>44.336610350000001</v>
      </c>
      <c r="H572" s="2" t="s">
        <v>17</v>
      </c>
      <c r="I572" s="4">
        <v>65.478470110000004</v>
      </c>
      <c r="J572" s="4">
        <v>84.226987030000004</v>
      </c>
      <c r="K572" s="5">
        <v>4.251871253</v>
      </c>
      <c r="L572" s="3">
        <v>6</v>
      </c>
      <c r="M572" s="2" t="s">
        <v>763</v>
      </c>
      <c r="N572" s="2" t="s">
        <v>15</v>
      </c>
      <c r="O572" s="4">
        <v>4.424469518958702</v>
      </c>
      <c r="P572" s="2" t="str">
        <f t="shared" si="8"/>
        <v>Acceptable</v>
      </c>
    </row>
    <row r="573" spans="1:16" ht="20.100000000000001" customHeight="1" x14ac:dyDescent="0.3">
      <c r="A573" s="2" t="s">
        <v>423</v>
      </c>
      <c r="B573" s="2" t="s">
        <v>771</v>
      </c>
      <c r="C573" s="3">
        <v>100</v>
      </c>
      <c r="D573" s="2" t="s">
        <v>759</v>
      </c>
      <c r="E573" s="4">
        <v>22.515635140000001</v>
      </c>
      <c r="F573" s="4">
        <v>3.5555598850000001</v>
      </c>
      <c r="G573" s="4">
        <v>35.152484719999997</v>
      </c>
      <c r="H573" s="2" t="s">
        <v>28</v>
      </c>
      <c r="I573" s="4">
        <v>40.135780740000001</v>
      </c>
      <c r="J573" s="4">
        <v>59.06838801</v>
      </c>
      <c r="K573" s="5">
        <v>16.33644722</v>
      </c>
      <c r="L573" s="3">
        <v>6</v>
      </c>
      <c r="M573" s="2" t="s">
        <v>764</v>
      </c>
      <c r="N573" s="2" t="s">
        <v>15</v>
      </c>
      <c r="O573" s="4">
        <v>4.2627967754023146</v>
      </c>
      <c r="P573" s="2" t="str">
        <f t="shared" si="8"/>
        <v>Acceptable</v>
      </c>
    </row>
    <row r="574" spans="1:16" ht="20.100000000000001" customHeight="1" x14ac:dyDescent="0.3">
      <c r="A574" s="2" t="s">
        <v>424</v>
      </c>
      <c r="B574" s="2" t="s">
        <v>771</v>
      </c>
      <c r="C574" s="3">
        <v>50</v>
      </c>
      <c r="D574" s="2" t="s">
        <v>761</v>
      </c>
      <c r="E574" s="4">
        <v>73.505970360000006</v>
      </c>
      <c r="F574" s="4">
        <v>1.83590907</v>
      </c>
      <c r="G574" s="4">
        <v>30.931427790000001</v>
      </c>
      <c r="H574" s="2" t="s">
        <v>24</v>
      </c>
      <c r="I574" s="4">
        <v>60.774849150000001</v>
      </c>
      <c r="J574" s="4">
        <v>63.566581329999998</v>
      </c>
      <c r="K574" s="5">
        <v>2.3152612210000001</v>
      </c>
      <c r="L574" s="3">
        <v>2</v>
      </c>
      <c r="M574" s="2" t="s">
        <v>762</v>
      </c>
      <c r="N574" s="2" t="s">
        <v>15</v>
      </c>
      <c r="O574" s="4">
        <v>1.0260449143806898</v>
      </c>
      <c r="P574" s="2" t="str">
        <f t="shared" si="8"/>
        <v>Low</v>
      </c>
    </row>
    <row r="575" spans="1:16" ht="20.100000000000001" customHeight="1" x14ac:dyDescent="0.3">
      <c r="A575" s="2" t="s">
        <v>425</v>
      </c>
      <c r="B575" s="2" t="s">
        <v>769</v>
      </c>
      <c r="C575" s="3">
        <v>75</v>
      </c>
      <c r="D575" s="2" t="s">
        <v>760</v>
      </c>
      <c r="E575" s="4">
        <v>73.869362600000002</v>
      </c>
      <c r="F575" s="4">
        <v>1.1968001429999999</v>
      </c>
      <c r="G575" s="4">
        <v>26.08697308</v>
      </c>
      <c r="H575" s="2" t="s">
        <v>17</v>
      </c>
      <c r="I575" s="4">
        <v>80.698012160000005</v>
      </c>
      <c r="J575" s="4">
        <v>88.20526203</v>
      </c>
      <c r="K575" s="5">
        <v>21.294590530000001</v>
      </c>
      <c r="L575" s="3">
        <v>4</v>
      </c>
      <c r="M575" s="2" t="s">
        <v>763</v>
      </c>
      <c r="N575" s="2" t="s">
        <v>21</v>
      </c>
      <c r="O575" s="4">
        <v>4.159168220818743</v>
      </c>
      <c r="P575" s="2" t="str">
        <f t="shared" si="8"/>
        <v>Acceptable</v>
      </c>
    </row>
    <row r="576" spans="1:16" ht="20.100000000000001" customHeight="1" x14ac:dyDescent="0.3">
      <c r="A576" s="2" t="s">
        <v>426</v>
      </c>
      <c r="B576" s="2" t="s">
        <v>22</v>
      </c>
      <c r="C576" s="3">
        <v>50</v>
      </c>
      <c r="D576" s="2" t="s">
        <v>758</v>
      </c>
      <c r="E576" s="4">
        <v>64.377132439999997</v>
      </c>
      <c r="F576" s="4">
        <v>2.314860017</v>
      </c>
      <c r="G576" s="4">
        <v>15.256569199999999</v>
      </c>
      <c r="H576" s="2" t="s">
        <v>24</v>
      </c>
      <c r="I576" s="4">
        <v>15.58695625</v>
      </c>
      <c r="J576" s="4">
        <v>98.807764509999998</v>
      </c>
      <c r="K576" s="5">
        <v>25.407399760000001</v>
      </c>
      <c r="L576" s="3">
        <v>3</v>
      </c>
      <c r="M576" s="2" t="s">
        <v>763</v>
      </c>
      <c r="N576" s="2" t="s">
        <v>21</v>
      </c>
      <c r="O576" s="4">
        <v>26.787584975589329</v>
      </c>
      <c r="P576" s="2" t="str">
        <f t="shared" si="8"/>
        <v>Outstanding</v>
      </c>
    </row>
    <row r="577" spans="1:16" ht="20.100000000000001" customHeight="1" x14ac:dyDescent="0.3">
      <c r="A577" s="2" t="s">
        <v>427</v>
      </c>
      <c r="B577" s="2" t="s">
        <v>769</v>
      </c>
      <c r="C577" s="3">
        <v>50</v>
      </c>
      <c r="D577" s="2" t="s">
        <v>759</v>
      </c>
      <c r="E577" s="4">
        <v>12.010095270000001</v>
      </c>
      <c r="F577" s="4">
        <v>0.75295959499999998</v>
      </c>
      <c r="G577" s="4">
        <v>47.9020613</v>
      </c>
      <c r="H577" s="2" t="s">
        <v>28</v>
      </c>
      <c r="I577" s="4">
        <v>41.657029600000001</v>
      </c>
      <c r="J577" s="4">
        <v>83.156721970000007</v>
      </c>
      <c r="K577" s="5">
        <v>23.949138649999998</v>
      </c>
      <c r="L577" s="3">
        <v>5</v>
      </c>
      <c r="M577" s="2" t="s">
        <v>764</v>
      </c>
      <c r="N577" s="2" t="s">
        <v>15</v>
      </c>
      <c r="O577" s="4">
        <v>2.4920762951969611</v>
      </c>
      <c r="P577" s="2" t="str">
        <f t="shared" si="8"/>
        <v>Low</v>
      </c>
    </row>
    <row r="578" spans="1:16" ht="20.100000000000001" customHeight="1" x14ac:dyDescent="0.3">
      <c r="A578" s="2" t="s">
        <v>428</v>
      </c>
      <c r="B578" s="2" t="s">
        <v>22</v>
      </c>
      <c r="C578" s="3">
        <v>29.594288890000001</v>
      </c>
      <c r="D578" s="2" t="s">
        <v>761</v>
      </c>
      <c r="E578" s="4">
        <v>36.226212410000002</v>
      </c>
      <c r="F578" s="4">
        <v>3.9924273870000002</v>
      </c>
      <c r="G578" s="4">
        <v>27.196487829999999</v>
      </c>
      <c r="H578" s="2" t="s">
        <v>28</v>
      </c>
      <c r="I578" s="4">
        <v>80.583283120000004</v>
      </c>
      <c r="J578" s="4">
        <v>91.078425050000007</v>
      </c>
      <c r="K578" s="5">
        <v>23.33398201</v>
      </c>
      <c r="L578" s="3">
        <v>3</v>
      </c>
      <c r="M578" s="2" t="s">
        <v>763</v>
      </c>
      <c r="N578" s="2" t="s">
        <v>15</v>
      </c>
      <c r="O578" s="4">
        <v>1.1251726168860323</v>
      </c>
      <c r="P578" s="2" t="str">
        <f t="shared" si="8"/>
        <v>Low</v>
      </c>
    </row>
    <row r="579" spans="1:16" ht="20.100000000000001" customHeight="1" x14ac:dyDescent="0.3">
      <c r="A579" s="2" t="s">
        <v>429</v>
      </c>
      <c r="B579" s="2" t="s">
        <v>771</v>
      </c>
      <c r="C579" s="3">
        <v>85</v>
      </c>
      <c r="D579" s="2" t="s">
        <v>760</v>
      </c>
      <c r="E579" s="4">
        <v>76.580113240000003</v>
      </c>
      <c r="F579" s="4">
        <v>2.6780965409999999</v>
      </c>
      <c r="G579" s="4">
        <v>41.122513679999997</v>
      </c>
      <c r="H579" s="2" t="s">
        <v>17</v>
      </c>
      <c r="I579" s="4">
        <v>31.362587019999999</v>
      </c>
      <c r="J579" s="4">
        <v>93.563426140000004</v>
      </c>
      <c r="K579" s="5">
        <v>14.086676389999999</v>
      </c>
      <c r="L579" s="3">
        <v>1</v>
      </c>
      <c r="M579" s="2" t="s">
        <v>763</v>
      </c>
      <c r="N579" s="2" t="s">
        <v>21</v>
      </c>
      <c r="O579" s="4">
        <v>40.488452079177293</v>
      </c>
      <c r="P579" s="2" t="str">
        <f t="shared" ref="P579:P642" si="9">IF(O579 &lt; 3, "Low", IF(O579 &lt; 10, "Acceptable", IF(O579 &lt; 20, "Superior", "Outstanding")))</f>
        <v>Outstanding</v>
      </c>
    </row>
    <row r="580" spans="1:16" ht="20.100000000000001" customHeight="1" x14ac:dyDescent="0.3">
      <c r="A580" s="2" t="s">
        <v>430</v>
      </c>
      <c r="B580" s="2" t="s">
        <v>769</v>
      </c>
      <c r="C580" s="3">
        <v>50</v>
      </c>
      <c r="D580" s="2" t="s">
        <v>760</v>
      </c>
      <c r="E580" s="4">
        <v>74.134192479999996</v>
      </c>
      <c r="F580" s="4">
        <v>2.1863746740000001</v>
      </c>
      <c r="G580" s="4">
        <v>47.816921360000002</v>
      </c>
      <c r="H580" s="2" t="s">
        <v>14</v>
      </c>
      <c r="I580" s="4">
        <v>71.904266500000006</v>
      </c>
      <c r="J580" s="4">
        <v>99.364735749999994</v>
      </c>
      <c r="K580" s="5">
        <v>18.23757818</v>
      </c>
      <c r="L580" s="3">
        <v>6</v>
      </c>
      <c r="M580" s="2" t="s">
        <v>762</v>
      </c>
      <c r="N580" s="2" t="s">
        <v>21</v>
      </c>
      <c r="O580" s="4">
        <v>10.1787985648531</v>
      </c>
      <c r="P580" s="2" t="str">
        <f t="shared" si="9"/>
        <v>Superior</v>
      </c>
    </row>
    <row r="581" spans="1:16" ht="20.100000000000001" customHeight="1" x14ac:dyDescent="0.3">
      <c r="A581" s="2" t="s">
        <v>431</v>
      </c>
      <c r="B581" s="2" t="s">
        <v>769</v>
      </c>
      <c r="C581" s="3">
        <v>100</v>
      </c>
      <c r="D581" s="2" t="s">
        <v>761</v>
      </c>
      <c r="E581" s="4">
        <v>73.809216640000002</v>
      </c>
      <c r="F581" s="4">
        <v>2.3698694800000002</v>
      </c>
      <c r="G581" s="4">
        <v>10.575938300000001</v>
      </c>
      <c r="H581" s="2" t="s">
        <v>24</v>
      </c>
      <c r="I581" s="4">
        <v>53.17181764</v>
      </c>
      <c r="J581" s="4">
        <v>92.160418919999998</v>
      </c>
      <c r="K581" s="5">
        <v>25.04490616</v>
      </c>
      <c r="L581" s="3">
        <v>4</v>
      </c>
      <c r="M581" s="2" t="s">
        <v>764</v>
      </c>
      <c r="N581" s="2" t="s">
        <v>18</v>
      </c>
      <c r="O581" s="4">
        <v>28.777181183661014</v>
      </c>
      <c r="P581" s="2" t="str">
        <f t="shared" si="9"/>
        <v>Outstanding</v>
      </c>
    </row>
    <row r="582" spans="1:16" ht="20.100000000000001" customHeight="1" x14ac:dyDescent="0.3">
      <c r="A582" s="2" t="s">
        <v>432</v>
      </c>
      <c r="B582" s="2" t="s">
        <v>22</v>
      </c>
      <c r="C582" s="3">
        <v>85</v>
      </c>
      <c r="D582" s="2" t="s">
        <v>759</v>
      </c>
      <c r="E582" s="4">
        <v>35.899549210000004</v>
      </c>
      <c r="F582" s="4">
        <v>1.7724470290000001</v>
      </c>
      <c r="G582" s="4">
        <v>12.51189727</v>
      </c>
      <c r="H582" s="2" t="s">
        <v>28</v>
      </c>
      <c r="I582" s="4">
        <v>16.49275287</v>
      </c>
      <c r="J582" s="4">
        <v>53.084572549999997</v>
      </c>
      <c r="K582" s="5">
        <v>15.055827450000001</v>
      </c>
      <c r="L582" s="3">
        <v>4</v>
      </c>
      <c r="M582" s="2" t="s">
        <v>762</v>
      </c>
      <c r="N582" s="2" t="s">
        <v>21</v>
      </c>
      <c r="O582" s="4">
        <v>11.165853565927655</v>
      </c>
      <c r="P582" s="2" t="str">
        <f t="shared" si="9"/>
        <v>Superior</v>
      </c>
    </row>
    <row r="583" spans="1:16" ht="20.100000000000001" customHeight="1" x14ac:dyDescent="0.3">
      <c r="A583" s="2" t="s">
        <v>433</v>
      </c>
      <c r="B583" s="2" t="s">
        <v>769</v>
      </c>
      <c r="C583" s="3">
        <v>62</v>
      </c>
      <c r="D583" s="2" t="s">
        <v>760</v>
      </c>
      <c r="E583" s="4">
        <v>48.33018276</v>
      </c>
      <c r="F583" s="4">
        <v>2.1541462299999998</v>
      </c>
      <c r="G583" s="4">
        <v>14.812569890000001</v>
      </c>
      <c r="H583" s="2" t="s">
        <v>17</v>
      </c>
      <c r="I583" s="4">
        <v>56.274595040000001</v>
      </c>
      <c r="J583" s="4">
        <v>65.987030329999996</v>
      </c>
      <c r="K583" s="5">
        <v>18.03247339</v>
      </c>
      <c r="L583" s="3">
        <v>4</v>
      </c>
      <c r="M583" s="2" t="s">
        <v>762</v>
      </c>
      <c r="N583" s="2" t="s">
        <v>15</v>
      </c>
      <c r="O583" s="4">
        <v>2.9103033901843149</v>
      </c>
      <c r="P583" s="2" t="str">
        <f t="shared" si="9"/>
        <v>Low</v>
      </c>
    </row>
    <row r="584" spans="1:16" ht="20.100000000000001" customHeight="1" x14ac:dyDescent="0.3">
      <c r="A584" s="2" t="s">
        <v>434</v>
      </c>
      <c r="B584" s="2" t="s">
        <v>769</v>
      </c>
      <c r="C584" s="3">
        <v>50</v>
      </c>
      <c r="D584" s="2" t="s">
        <v>758</v>
      </c>
      <c r="E584" s="4">
        <v>40.736704799999998</v>
      </c>
      <c r="F584" s="4">
        <v>2.534525414</v>
      </c>
      <c r="G584" s="4">
        <v>9.8667592089999996</v>
      </c>
      <c r="H584" s="2" t="s">
        <v>28</v>
      </c>
      <c r="I584" s="4">
        <v>33.926486820000001</v>
      </c>
      <c r="J584" s="4">
        <v>67.695331199999998</v>
      </c>
      <c r="K584" s="5">
        <v>13.54692893</v>
      </c>
      <c r="L584" s="3">
        <v>0</v>
      </c>
      <c r="M584" s="2" t="s">
        <v>764</v>
      </c>
      <c r="N584" s="2" t="s">
        <v>21</v>
      </c>
      <c r="O584" s="4">
        <v>6.8781572247259941</v>
      </c>
      <c r="P584" s="2" t="str">
        <f t="shared" si="9"/>
        <v>Acceptable</v>
      </c>
    </row>
    <row r="585" spans="1:16" ht="20.100000000000001" customHeight="1" x14ac:dyDescent="0.3">
      <c r="A585" s="2" t="s">
        <v>435</v>
      </c>
      <c r="B585" s="2" t="s">
        <v>770</v>
      </c>
      <c r="C585" s="3">
        <v>62</v>
      </c>
      <c r="D585" s="2" t="s">
        <v>761</v>
      </c>
      <c r="E585" s="4">
        <v>11.5797708</v>
      </c>
      <c r="F585" s="4">
        <v>3.6160997290000001</v>
      </c>
      <c r="G585" s="4">
        <v>9.6340316159999997</v>
      </c>
      <c r="H585" s="2" t="s">
        <v>28</v>
      </c>
      <c r="I585" s="4">
        <v>26.10515607</v>
      </c>
      <c r="J585" s="4">
        <v>71.399102790000001</v>
      </c>
      <c r="K585" s="5">
        <v>36.03822598</v>
      </c>
      <c r="L585" s="3">
        <v>1</v>
      </c>
      <c r="M585" s="2" t="s">
        <v>762</v>
      </c>
      <c r="N585" s="2" t="s">
        <v>21</v>
      </c>
      <c r="O585" s="4">
        <v>3.251859834199073</v>
      </c>
      <c r="P585" s="2" t="str">
        <f t="shared" si="9"/>
        <v>Acceptable</v>
      </c>
    </row>
    <row r="586" spans="1:16" ht="20.100000000000001" customHeight="1" x14ac:dyDescent="0.3">
      <c r="A586" s="2" t="s">
        <v>436</v>
      </c>
      <c r="B586" s="2" t="s">
        <v>770</v>
      </c>
      <c r="C586" s="3">
        <v>62</v>
      </c>
      <c r="D586" s="2" t="s">
        <v>758</v>
      </c>
      <c r="E586" s="4">
        <v>20.51871405</v>
      </c>
      <c r="F586" s="4">
        <v>3.6465830449999999</v>
      </c>
      <c r="G586" s="4">
        <v>27.173537459999999</v>
      </c>
      <c r="H586" s="2" t="s">
        <v>24</v>
      </c>
      <c r="I586" s="4">
        <v>83.590481800000006</v>
      </c>
      <c r="J586" s="4">
        <v>159.98890320000001</v>
      </c>
      <c r="K586" s="5">
        <v>22.47968921</v>
      </c>
      <c r="L586" s="3">
        <v>5</v>
      </c>
      <c r="M586" s="2" t="s">
        <v>762</v>
      </c>
      <c r="N586" s="2" t="s">
        <v>21</v>
      </c>
      <c r="O586" s="4">
        <v>9.719103647983605</v>
      </c>
      <c r="P586" s="2" t="str">
        <f t="shared" si="9"/>
        <v>Acceptable</v>
      </c>
    </row>
    <row r="587" spans="1:16" ht="20.100000000000001" customHeight="1" x14ac:dyDescent="0.3">
      <c r="A587" s="2" t="s">
        <v>63</v>
      </c>
      <c r="B587" s="2" t="s">
        <v>768</v>
      </c>
      <c r="C587" s="3">
        <v>75</v>
      </c>
      <c r="D587" s="2" t="s">
        <v>760</v>
      </c>
      <c r="E587" s="4">
        <v>31.21888968</v>
      </c>
      <c r="F587" s="4">
        <v>3.3409975919999999</v>
      </c>
      <c r="G587" s="4">
        <v>30.02591267</v>
      </c>
      <c r="H587" s="2" t="s">
        <v>24</v>
      </c>
      <c r="I587" s="4">
        <v>39.517616760000003</v>
      </c>
      <c r="J587" s="4">
        <v>71.271764640000001</v>
      </c>
      <c r="K587" s="5">
        <v>39.83142977</v>
      </c>
      <c r="L587" s="3">
        <v>3</v>
      </c>
      <c r="M587" s="2" t="s">
        <v>763</v>
      </c>
      <c r="N587" s="2" t="s">
        <v>15</v>
      </c>
      <c r="O587" s="4">
        <v>7.4349692966109444</v>
      </c>
      <c r="P587" s="2" t="str">
        <f t="shared" si="9"/>
        <v>Acceptable</v>
      </c>
    </row>
    <row r="588" spans="1:16" ht="20.100000000000001" customHeight="1" x14ac:dyDescent="0.3">
      <c r="A588" s="2" t="s">
        <v>437</v>
      </c>
      <c r="B588" s="2" t="s">
        <v>22</v>
      </c>
      <c r="C588" s="3">
        <v>64.770701410000001</v>
      </c>
      <c r="D588" s="2" t="s">
        <v>760</v>
      </c>
      <c r="E588" s="4">
        <v>15.567795780000001</v>
      </c>
      <c r="F588" s="4">
        <v>1.2220213529999999</v>
      </c>
      <c r="G588" s="4">
        <v>49.639144360000003</v>
      </c>
      <c r="H588" s="2" t="s">
        <v>17</v>
      </c>
      <c r="I588" s="4">
        <v>54.124440900000003</v>
      </c>
      <c r="J588" s="4">
        <v>58.528577660000003</v>
      </c>
      <c r="K588" s="5">
        <v>35.697788719999998</v>
      </c>
      <c r="L588" s="3">
        <v>6</v>
      </c>
      <c r="M588" s="2" t="s">
        <v>762</v>
      </c>
      <c r="N588" s="2" t="s">
        <v>15</v>
      </c>
      <c r="O588" s="4">
        <v>0.44408542775278032</v>
      </c>
      <c r="P588" s="2" t="str">
        <f t="shared" si="9"/>
        <v>Low</v>
      </c>
    </row>
    <row r="589" spans="1:16" ht="20.100000000000001" customHeight="1" x14ac:dyDescent="0.3">
      <c r="A589" s="2" t="s">
        <v>438</v>
      </c>
      <c r="B589" s="2" t="s">
        <v>770</v>
      </c>
      <c r="C589" s="3">
        <v>61.460885470000001</v>
      </c>
      <c r="D589" s="2" t="s">
        <v>759</v>
      </c>
      <c r="E589" s="4">
        <v>17.218744480000002</v>
      </c>
      <c r="F589" s="4">
        <v>0.95752111600000001</v>
      </c>
      <c r="G589" s="4">
        <v>47.746137390000001</v>
      </c>
      <c r="H589" s="2" t="s">
        <v>14</v>
      </c>
      <c r="I589" s="4">
        <v>53.671773950000002</v>
      </c>
      <c r="J589" s="4">
        <v>76.201269159999995</v>
      </c>
      <c r="K589" s="5">
        <v>20.01875008</v>
      </c>
      <c r="L589" s="3">
        <v>1</v>
      </c>
      <c r="M589" s="2" t="s">
        <v>764</v>
      </c>
      <c r="N589" s="2" t="s">
        <v>15</v>
      </c>
      <c r="O589" s="4">
        <v>2.3842498024179379</v>
      </c>
      <c r="P589" s="2" t="str">
        <f t="shared" si="9"/>
        <v>Low</v>
      </c>
    </row>
    <row r="590" spans="1:16" ht="20.100000000000001" customHeight="1" x14ac:dyDescent="0.3">
      <c r="A590" s="2" t="s">
        <v>439</v>
      </c>
      <c r="B590" s="2" t="s">
        <v>22</v>
      </c>
      <c r="C590" s="3">
        <v>50</v>
      </c>
      <c r="D590" s="2" t="s">
        <v>760</v>
      </c>
      <c r="E590" s="4">
        <v>48.145969610000002</v>
      </c>
      <c r="F590" s="4">
        <v>2.867363493</v>
      </c>
      <c r="G590" s="4">
        <v>15.5216618</v>
      </c>
      <c r="H590" s="2" t="s">
        <v>24</v>
      </c>
      <c r="I590" s="4">
        <v>16.537180559999999</v>
      </c>
      <c r="J590" s="4">
        <v>99.984860479999995</v>
      </c>
      <c r="K590" s="5">
        <v>32.227384129999997</v>
      </c>
      <c r="L590" s="3">
        <v>0</v>
      </c>
      <c r="M590" s="2" t="s">
        <v>762</v>
      </c>
      <c r="N590" s="2" t="s">
        <v>15</v>
      </c>
      <c r="O590" s="4">
        <v>20.088347307266634</v>
      </c>
      <c r="P590" s="2" t="str">
        <f t="shared" si="9"/>
        <v>Outstanding</v>
      </c>
    </row>
    <row r="591" spans="1:16" ht="20.100000000000001" customHeight="1" x14ac:dyDescent="0.3">
      <c r="A591" s="2" t="s">
        <v>440</v>
      </c>
      <c r="B591" s="2" t="s">
        <v>770</v>
      </c>
      <c r="C591" s="3">
        <v>85</v>
      </c>
      <c r="D591" s="2" t="s">
        <v>759</v>
      </c>
      <c r="E591" s="4">
        <v>67.90283934</v>
      </c>
      <c r="F591" s="4">
        <v>0.83531874500000003</v>
      </c>
      <c r="G591" s="4">
        <v>41.067041099999997</v>
      </c>
      <c r="H591" s="2" t="s">
        <v>14</v>
      </c>
      <c r="I591" s="4">
        <v>45.582325660000002</v>
      </c>
      <c r="J591" s="4">
        <v>87.802069689999996</v>
      </c>
      <c r="K591" s="5">
        <v>25.58518973</v>
      </c>
      <c r="L591" s="3">
        <v>1</v>
      </c>
      <c r="M591" s="2" t="s">
        <v>762</v>
      </c>
      <c r="N591" s="2" t="s">
        <v>21</v>
      </c>
      <c r="O591" s="4">
        <v>24.368144214682616</v>
      </c>
      <c r="P591" s="2" t="str">
        <f t="shared" si="9"/>
        <v>Outstanding</v>
      </c>
    </row>
    <row r="592" spans="1:16" ht="20.100000000000001" customHeight="1" x14ac:dyDescent="0.3">
      <c r="A592" s="2" t="s">
        <v>441</v>
      </c>
      <c r="B592" s="2" t="s">
        <v>770</v>
      </c>
      <c r="C592" s="3">
        <v>85</v>
      </c>
      <c r="D592" s="2" t="s">
        <v>758</v>
      </c>
      <c r="E592" s="4">
        <v>43.254517139999997</v>
      </c>
      <c r="F592" s="4">
        <v>3.2107643719999999</v>
      </c>
      <c r="G592" s="4">
        <v>19.278035719999998</v>
      </c>
      <c r="H592" s="2" t="s">
        <v>28</v>
      </c>
      <c r="I592" s="4">
        <v>16.42986703</v>
      </c>
      <c r="J592" s="4">
        <v>85.242128469999997</v>
      </c>
      <c r="K592" s="5">
        <v>27.817556969999998</v>
      </c>
      <c r="L592" s="3">
        <v>1</v>
      </c>
      <c r="M592" s="2" t="s">
        <v>762</v>
      </c>
      <c r="N592" s="2" t="s">
        <v>15</v>
      </c>
      <c r="O592" s="4">
        <v>25.299749706138446</v>
      </c>
      <c r="P592" s="2" t="str">
        <f t="shared" si="9"/>
        <v>Outstanding</v>
      </c>
    </row>
    <row r="593" spans="1:16" ht="20.100000000000001" customHeight="1" x14ac:dyDescent="0.3">
      <c r="A593" s="2" t="s">
        <v>442</v>
      </c>
      <c r="B593" s="2" t="s">
        <v>771</v>
      </c>
      <c r="C593" s="3">
        <v>62</v>
      </c>
      <c r="D593" s="2" t="s">
        <v>761</v>
      </c>
      <c r="E593" s="4">
        <v>62.61550759</v>
      </c>
      <c r="F593" s="4">
        <v>1.8150454</v>
      </c>
      <c r="G593" s="4">
        <v>19.794649589999999</v>
      </c>
      <c r="H593" s="2" t="s">
        <v>14</v>
      </c>
      <c r="I593" s="4">
        <v>84.034261420000007</v>
      </c>
      <c r="J593" s="4">
        <v>92.436278520000002</v>
      </c>
      <c r="K593" s="5">
        <v>21.453631640000001</v>
      </c>
      <c r="L593" s="3">
        <v>3</v>
      </c>
      <c r="M593" s="2" t="s">
        <v>763</v>
      </c>
      <c r="N593" s="2" t="s">
        <v>15</v>
      </c>
      <c r="O593" s="4">
        <v>3.2617987060774283</v>
      </c>
      <c r="P593" s="2" t="str">
        <f t="shared" si="9"/>
        <v>Acceptable</v>
      </c>
    </row>
    <row r="594" spans="1:16" ht="20.100000000000001" customHeight="1" x14ac:dyDescent="0.3">
      <c r="A594" s="2" t="s">
        <v>443</v>
      </c>
      <c r="B594" s="2" t="s">
        <v>769</v>
      </c>
      <c r="C594" s="3">
        <v>85</v>
      </c>
      <c r="D594" s="2" t="s">
        <v>760</v>
      </c>
      <c r="E594" s="4">
        <v>43.82590012</v>
      </c>
      <c r="F594" s="4">
        <v>3.1281282300000002</v>
      </c>
      <c r="G594" s="4">
        <v>41.837462500000001</v>
      </c>
      <c r="H594" s="2" t="s">
        <v>24</v>
      </c>
      <c r="I594" s="4">
        <v>37.694474030000002</v>
      </c>
      <c r="J594" s="4">
        <v>77.126554420000005</v>
      </c>
      <c r="K594" s="5">
        <v>33.546857129999999</v>
      </c>
      <c r="L594" s="3">
        <v>7</v>
      </c>
      <c r="M594" s="2" t="s">
        <v>764</v>
      </c>
      <c r="N594" s="2" t="s">
        <v>21</v>
      </c>
      <c r="O594" s="4">
        <v>14.689244541915579</v>
      </c>
      <c r="P594" s="2" t="str">
        <f t="shared" si="9"/>
        <v>Superior</v>
      </c>
    </row>
    <row r="595" spans="1:16" ht="20.100000000000001" customHeight="1" x14ac:dyDescent="0.3">
      <c r="A595" s="2" t="s">
        <v>444</v>
      </c>
      <c r="B595" s="2" t="s">
        <v>22</v>
      </c>
      <c r="C595" s="3">
        <v>75</v>
      </c>
      <c r="D595" s="2" t="s">
        <v>757</v>
      </c>
      <c r="E595" s="4">
        <v>74.82644569</v>
      </c>
      <c r="F595" s="4">
        <v>1.3985822109999999</v>
      </c>
      <c r="G595" s="4">
        <v>43.133283460000001</v>
      </c>
      <c r="H595" s="2" t="s">
        <v>14</v>
      </c>
      <c r="I595" s="4">
        <v>23.7259955</v>
      </c>
      <c r="J595" s="4">
        <v>53.813699319999998</v>
      </c>
      <c r="K595" s="5">
        <v>30.955968940000002</v>
      </c>
      <c r="L595" s="3">
        <v>3.043569798</v>
      </c>
      <c r="M595" s="2" t="s">
        <v>763</v>
      </c>
      <c r="N595" s="2" t="s">
        <v>21</v>
      </c>
      <c r="O595" s="4">
        <v>16.885169518680268</v>
      </c>
      <c r="P595" s="2" t="str">
        <f t="shared" si="9"/>
        <v>Superior</v>
      </c>
    </row>
    <row r="596" spans="1:16" ht="20.100000000000001" customHeight="1" x14ac:dyDescent="0.3">
      <c r="A596" s="2" t="s">
        <v>445</v>
      </c>
      <c r="B596" s="2" t="s">
        <v>22</v>
      </c>
      <c r="C596" s="3">
        <v>75</v>
      </c>
      <c r="D596" s="2" t="s">
        <v>759</v>
      </c>
      <c r="E596" s="4">
        <v>78.895249109999995</v>
      </c>
      <c r="F596" s="4">
        <v>1.2258955119999999</v>
      </c>
      <c r="G596" s="4">
        <v>30.749276819999999</v>
      </c>
      <c r="H596" s="2" t="s">
        <v>17</v>
      </c>
      <c r="I596" s="4">
        <v>62.087646450000001</v>
      </c>
      <c r="J596" s="4">
        <v>80.771378819999995</v>
      </c>
      <c r="K596" s="5">
        <v>16.52085958</v>
      </c>
      <c r="L596" s="3">
        <v>4</v>
      </c>
      <c r="M596" s="2" t="s">
        <v>763</v>
      </c>
      <c r="N596" s="2" t="s">
        <v>21</v>
      </c>
      <c r="O596" s="4">
        <v>11.055432897267901</v>
      </c>
      <c r="P596" s="2" t="str">
        <f t="shared" si="9"/>
        <v>Superior</v>
      </c>
    </row>
    <row r="597" spans="1:16" ht="20.100000000000001" customHeight="1" x14ac:dyDescent="0.3">
      <c r="A597" s="2" t="s">
        <v>446</v>
      </c>
      <c r="B597" s="2" t="s">
        <v>769</v>
      </c>
      <c r="C597" s="3">
        <v>62</v>
      </c>
      <c r="D597" s="2" t="s">
        <v>758</v>
      </c>
      <c r="E597" s="4">
        <v>10.241885890000001</v>
      </c>
      <c r="F597" s="4">
        <v>1.394747103</v>
      </c>
      <c r="G597" s="4">
        <v>29.21621369</v>
      </c>
      <c r="H597" s="2" t="s">
        <v>14</v>
      </c>
      <c r="I597" s="4">
        <v>14.96166964</v>
      </c>
      <c r="J597" s="4">
        <v>70.511800809999997</v>
      </c>
      <c r="K597" s="5">
        <v>18.153854750000001</v>
      </c>
      <c r="L597" s="3">
        <v>3</v>
      </c>
      <c r="M597" s="2" t="s">
        <v>764</v>
      </c>
      <c r="N597" s="2" t="s">
        <v>15</v>
      </c>
      <c r="O597" s="4">
        <v>3.5274162486295682</v>
      </c>
      <c r="P597" s="2" t="str">
        <f t="shared" si="9"/>
        <v>Acceptable</v>
      </c>
    </row>
    <row r="598" spans="1:16" ht="20.100000000000001" customHeight="1" x14ac:dyDescent="0.3">
      <c r="A598" s="2" t="s">
        <v>447</v>
      </c>
      <c r="B598" s="2" t="s">
        <v>771</v>
      </c>
      <c r="C598" s="3">
        <v>50</v>
      </c>
      <c r="D598" s="2" t="s">
        <v>760</v>
      </c>
      <c r="E598" s="4">
        <v>59.922814420000002</v>
      </c>
      <c r="F598" s="4">
        <v>3.7532164799999999</v>
      </c>
      <c r="G598" s="4">
        <v>30.429448130000001</v>
      </c>
      <c r="H598" s="2" t="s">
        <v>28</v>
      </c>
      <c r="I598" s="4">
        <v>41.642751689999997</v>
      </c>
      <c r="J598" s="4">
        <v>95.006958429999997</v>
      </c>
      <c r="K598" s="5">
        <v>7.1773224979999997</v>
      </c>
      <c r="L598" s="3">
        <v>7</v>
      </c>
      <c r="M598" s="2" t="s">
        <v>763</v>
      </c>
      <c r="N598" s="2" t="s">
        <v>15</v>
      </c>
      <c r="O598" s="4">
        <v>15.988667285757668</v>
      </c>
      <c r="P598" s="2" t="str">
        <f t="shared" si="9"/>
        <v>Superior</v>
      </c>
    </row>
    <row r="599" spans="1:16" ht="20.100000000000001" customHeight="1" x14ac:dyDescent="0.3">
      <c r="A599" s="2" t="s">
        <v>64</v>
      </c>
      <c r="B599" s="2" t="s">
        <v>768</v>
      </c>
      <c r="C599" s="3">
        <v>75</v>
      </c>
      <c r="D599" s="2" t="s">
        <v>758</v>
      </c>
      <c r="E599" s="4">
        <v>59.98647673</v>
      </c>
      <c r="F599" s="4">
        <v>3.7293653999999998</v>
      </c>
      <c r="G599" s="4">
        <v>23.417921150000002</v>
      </c>
      <c r="H599" s="2" t="s">
        <v>24</v>
      </c>
      <c r="I599" s="4">
        <v>88.096768460000007</v>
      </c>
      <c r="J599" s="4">
        <v>96.130568589999996</v>
      </c>
      <c r="K599" s="5">
        <v>15.06062245</v>
      </c>
      <c r="L599" s="3">
        <v>0</v>
      </c>
      <c r="M599" s="2" t="s">
        <v>762</v>
      </c>
      <c r="N599" s="2" t="s">
        <v>15</v>
      </c>
      <c r="O599" s="4">
        <v>3.6143952341378651</v>
      </c>
      <c r="P599" s="2" t="str">
        <f t="shared" si="9"/>
        <v>Acceptable</v>
      </c>
    </row>
    <row r="600" spans="1:16" ht="20.100000000000001" customHeight="1" x14ac:dyDescent="0.3">
      <c r="A600" s="2" t="s">
        <v>448</v>
      </c>
      <c r="B600" s="2" t="s">
        <v>771</v>
      </c>
      <c r="C600" s="3">
        <v>62</v>
      </c>
      <c r="D600" s="2" t="s">
        <v>757</v>
      </c>
      <c r="E600" s="4">
        <v>8.3530198559999995</v>
      </c>
      <c r="F600" s="4">
        <v>3.430484458</v>
      </c>
      <c r="G600" s="4">
        <v>34.719681719999997</v>
      </c>
      <c r="H600" s="2" t="s">
        <v>17</v>
      </c>
      <c r="I600" s="4">
        <v>13.142563109999999</v>
      </c>
      <c r="J600" s="4">
        <v>97.25962097</v>
      </c>
      <c r="K600" s="5">
        <v>2.819187377</v>
      </c>
      <c r="L600" s="3">
        <v>7</v>
      </c>
      <c r="M600" s="2" t="s">
        <v>764</v>
      </c>
      <c r="N600" s="2" t="s">
        <v>15</v>
      </c>
      <c r="O600" s="4">
        <v>4.356315018103861</v>
      </c>
      <c r="P600" s="2" t="str">
        <f t="shared" si="9"/>
        <v>Acceptable</v>
      </c>
    </row>
    <row r="601" spans="1:16" ht="20.100000000000001" customHeight="1" x14ac:dyDescent="0.3">
      <c r="A601" s="2" t="s">
        <v>449</v>
      </c>
      <c r="B601" s="2" t="s">
        <v>771</v>
      </c>
      <c r="C601" s="3">
        <v>58.369804520000002</v>
      </c>
      <c r="D601" s="2" t="s">
        <v>761</v>
      </c>
      <c r="E601" s="4">
        <v>40.762833110000003</v>
      </c>
      <c r="F601" s="4">
        <v>0.93843657899999999</v>
      </c>
      <c r="G601" s="4">
        <v>41.332935460000002</v>
      </c>
      <c r="H601" s="2" t="s">
        <v>14</v>
      </c>
      <c r="I601" s="4">
        <v>57.814680199999998</v>
      </c>
      <c r="J601" s="4">
        <v>87.270686679999997</v>
      </c>
      <c r="K601" s="5">
        <v>35.549524329999997</v>
      </c>
      <c r="L601" s="3">
        <v>3</v>
      </c>
      <c r="M601" s="2" t="s">
        <v>762</v>
      </c>
      <c r="N601" s="2" t="s">
        <v>18</v>
      </c>
      <c r="O601" s="4">
        <v>7.0085224108777266</v>
      </c>
      <c r="P601" s="2" t="str">
        <f t="shared" si="9"/>
        <v>Acceptable</v>
      </c>
    </row>
    <row r="602" spans="1:16" ht="20.100000000000001" customHeight="1" x14ac:dyDescent="0.3">
      <c r="A602" s="2" t="s">
        <v>450</v>
      </c>
      <c r="B602" s="2" t="s">
        <v>771</v>
      </c>
      <c r="C602" s="3">
        <v>85</v>
      </c>
      <c r="D602" s="2" t="s">
        <v>757</v>
      </c>
      <c r="E602" s="4">
        <v>18.890563369999999</v>
      </c>
      <c r="F602" s="4">
        <v>1.4187837430000001</v>
      </c>
      <c r="G602" s="4">
        <v>17.00535034</v>
      </c>
      <c r="H602" s="2" t="s">
        <v>17</v>
      </c>
      <c r="I602" s="4">
        <v>54.311471070000003</v>
      </c>
      <c r="J602" s="4">
        <v>57.656032629999999</v>
      </c>
      <c r="K602" s="5">
        <v>32.950430529999998</v>
      </c>
      <c r="L602" s="3">
        <v>2</v>
      </c>
      <c r="M602" s="2" t="s">
        <v>764</v>
      </c>
      <c r="N602" s="2" t="s">
        <v>15</v>
      </c>
      <c r="O602" s="4">
        <v>0.5370355427993907</v>
      </c>
      <c r="P602" s="2" t="str">
        <f t="shared" si="9"/>
        <v>Low</v>
      </c>
    </row>
    <row r="603" spans="1:16" ht="20.100000000000001" customHeight="1" x14ac:dyDescent="0.3">
      <c r="A603" s="2" t="s">
        <v>451</v>
      </c>
      <c r="B603" s="2" t="s">
        <v>769</v>
      </c>
      <c r="C603" s="3">
        <v>62</v>
      </c>
      <c r="D603" s="2" t="s">
        <v>761</v>
      </c>
      <c r="E603" s="4">
        <v>12.81436315</v>
      </c>
      <c r="F603" s="4">
        <v>2.5885351810000001</v>
      </c>
      <c r="G603" s="4">
        <v>27.381994349999999</v>
      </c>
      <c r="H603" s="2" t="s">
        <v>24</v>
      </c>
      <c r="I603" s="4">
        <v>66.461341540000006</v>
      </c>
      <c r="J603" s="4">
        <v>68.413094819999998</v>
      </c>
      <c r="K603" s="5">
        <v>22.614182589999999</v>
      </c>
      <c r="L603" s="3">
        <v>1</v>
      </c>
      <c r="M603" s="2" t="s">
        <v>762</v>
      </c>
      <c r="N603" s="2" t="s">
        <v>15</v>
      </c>
      <c r="O603" s="4">
        <v>0.15506494691656583</v>
      </c>
      <c r="P603" s="2" t="str">
        <f t="shared" si="9"/>
        <v>Low</v>
      </c>
    </row>
    <row r="604" spans="1:16" ht="20.100000000000001" customHeight="1" x14ac:dyDescent="0.3">
      <c r="A604" s="2" t="s">
        <v>452</v>
      </c>
      <c r="B604" s="2" t="s">
        <v>22</v>
      </c>
      <c r="C604" s="3">
        <v>75</v>
      </c>
      <c r="D604" s="2" t="s">
        <v>758</v>
      </c>
      <c r="E604" s="4">
        <v>8.9184187779999995</v>
      </c>
      <c r="F604" s="4">
        <v>1.556936696</v>
      </c>
      <c r="G604" s="4">
        <v>16.24196336</v>
      </c>
      <c r="H604" s="2" t="s">
        <v>28</v>
      </c>
      <c r="I604" s="4">
        <v>16.990404999999999</v>
      </c>
      <c r="J604" s="4">
        <v>55.826641029999998</v>
      </c>
      <c r="K604" s="5">
        <v>9.1139681859999992</v>
      </c>
      <c r="L604" s="3">
        <v>1.2086330830000001</v>
      </c>
      <c r="M604" s="2" t="s">
        <v>762</v>
      </c>
      <c r="N604" s="2" t="s">
        <v>21</v>
      </c>
      <c r="O604" s="4">
        <v>2.5976836250759407</v>
      </c>
      <c r="P604" s="2" t="str">
        <f t="shared" si="9"/>
        <v>Low</v>
      </c>
    </row>
    <row r="605" spans="1:16" ht="20.100000000000001" customHeight="1" x14ac:dyDescent="0.3">
      <c r="A605" s="2" t="s">
        <v>453</v>
      </c>
      <c r="B605" s="2" t="s">
        <v>771</v>
      </c>
      <c r="C605" s="3">
        <v>75</v>
      </c>
      <c r="D605" s="2" t="s">
        <v>761</v>
      </c>
      <c r="E605" s="4">
        <v>7.8588683890000004</v>
      </c>
      <c r="F605" s="4">
        <v>3.3611287060000001</v>
      </c>
      <c r="G605" s="4">
        <v>4.8303716769999996</v>
      </c>
      <c r="H605" s="2" t="s">
        <v>17</v>
      </c>
      <c r="I605" s="4">
        <v>81.865503469999993</v>
      </c>
      <c r="J605" s="4">
        <v>96.132312069999998</v>
      </c>
      <c r="K605" s="5">
        <v>23.69545557</v>
      </c>
      <c r="L605" s="3">
        <v>0</v>
      </c>
      <c r="M605" s="2" t="s">
        <v>762</v>
      </c>
      <c r="N605" s="2" t="s">
        <v>15</v>
      </c>
      <c r="O605" s="4">
        <v>0.84090728338840037</v>
      </c>
      <c r="P605" s="2" t="str">
        <f t="shared" si="9"/>
        <v>Low</v>
      </c>
    </row>
    <row r="606" spans="1:16" ht="20.100000000000001" customHeight="1" x14ac:dyDescent="0.3">
      <c r="A606" s="2" t="s">
        <v>454</v>
      </c>
      <c r="B606" s="2" t="s">
        <v>770</v>
      </c>
      <c r="C606" s="3">
        <v>75</v>
      </c>
      <c r="D606" s="2" t="s">
        <v>761</v>
      </c>
      <c r="E606" s="4">
        <v>70.171354600000001</v>
      </c>
      <c r="F606" s="4">
        <v>3.8279458320000002</v>
      </c>
      <c r="G606" s="4">
        <v>12.962522180000001</v>
      </c>
      <c r="H606" s="2" t="s">
        <v>14</v>
      </c>
      <c r="I606" s="4">
        <v>11.95265429</v>
      </c>
      <c r="J606" s="4">
        <v>52.682665440000001</v>
      </c>
      <c r="K606" s="5">
        <v>1.496106621</v>
      </c>
      <c r="L606" s="3">
        <v>3.2863245719999998</v>
      </c>
      <c r="M606" s="2" t="s">
        <v>763</v>
      </c>
      <c r="N606" s="2" t="s">
        <v>18</v>
      </c>
      <c r="O606" s="4">
        <v>21.435600414514528</v>
      </c>
      <c r="P606" s="2" t="str">
        <f t="shared" si="9"/>
        <v>Outstanding</v>
      </c>
    </row>
    <row r="607" spans="1:16" ht="20.100000000000001" customHeight="1" x14ac:dyDescent="0.3">
      <c r="A607" s="2" t="s">
        <v>65</v>
      </c>
      <c r="B607" s="2" t="s">
        <v>769</v>
      </c>
      <c r="C607" s="3">
        <v>48.050694729999996</v>
      </c>
      <c r="D607" s="2" t="s">
        <v>759</v>
      </c>
      <c r="E607" s="4">
        <v>51.67374779</v>
      </c>
      <c r="F607" s="4">
        <v>0.69175536400000004</v>
      </c>
      <c r="G607" s="4">
        <v>46.595678409999998</v>
      </c>
      <c r="H607" s="2" t="s">
        <v>24</v>
      </c>
      <c r="I607" s="4">
        <v>55.072174080000003</v>
      </c>
      <c r="J607" s="4">
        <v>62.935780110000003</v>
      </c>
      <c r="K607" s="5">
        <v>2.5542438029999999</v>
      </c>
      <c r="L607" s="3">
        <v>7</v>
      </c>
      <c r="M607" s="2" t="s">
        <v>763</v>
      </c>
      <c r="N607" s="2" t="s">
        <v>18</v>
      </c>
      <c r="O607" s="4">
        <v>1.9525015143988562</v>
      </c>
      <c r="P607" s="2" t="str">
        <f t="shared" si="9"/>
        <v>Low</v>
      </c>
    </row>
    <row r="608" spans="1:16" ht="20.100000000000001" customHeight="1" x14ac:dyDescent="0.3">
      <c r="A608" s="2" t="s">
        <v>455</v>
      </c>
      <c r="B608" s="2" t="s">
        <v>769</v>
      </c>
      <c r="C608" s="3">
        <v>62</v>
      </c>
      <c r="D608" s="2" t="s">
        <v>760</v>
      </c>
      <c r="E608" s="4">
        <v>15.187432129999999</v>
      </c>
      <c r="F608" s="4">
        <v>2.7345975710000001</v>
      </c>
      <c r="G608" s="4">
        <v>13.08002299</v>
      </c>
      <c r="H608" s="2" t="s">
        <v>17</v>
      </c>
      <c r="I608" s="4">
        <v>11.883222740000001</v>
      </c>
      <c r="J608" s="4">
        <v>59.529633070000003</v>
      </c>
      <c r="K608" s="5">
        <v>36.999915880000003</v>
      </c>
      <c r="L608" s="3">
        <v>2</v>
      </c>
      <c r="M608" s="2" t="s">
        <v>763</v>
      </c>
      <c r="N608" s="2" t="s">
        <v>18</v>
      </c>
      <c r="O608" s="4">
        <v>4.4864850633750368</v>
      </c>
      <c r="P608" s="2" t="str">
        <f t="shared" si="9"/>
        <v>Acceptable</v>
      </c>
    </row>
    <row r="609" spans="1:16" ht="20.100000000000001" customHeight="1" x14ac:dyDescent="0.3">
      <c r="A609" s="2" t="s">
        <v>456</v>
      </c>
      <c r="B609" s="2" t="s">
        <v>768</v>
      </c>
      <c r="C609" s="3">
        <v>85</v>
      </c>
      <c r="D609" s="2" t="s">
        <v>757</v>
      </c>
      <c r="E609" s="4">
        <v>77.861316130000006</v>
      </c>
      <c r="F609" s="4">
        <v>0.70653664599999999</v>
      </c>
      <c r="G609" s="4">
        <v>30.14418744</v>
      </c>
      <c r="H609" s="2" t="s">
        <v>14</v>
      </c>
      <c r="I609" s="4">
        <v>63.104342950000003</v>
      </c>
      <c r="J609" s="4">
        <v>66.612413459999999</v>
      </c>
      <c r="K609" s="5">
        <v>0.78653441700000004</v>
      </c>
      <c r="L609" s="3">
        <v>0</v>
      </c>
      <c r="M609" s="2" t="s">
        <v>762</v>
      </c>
      <c r="N609" s="2" t="s">
        <v>21</v>
      </c>
      <c r="O609" s="4">
        <v>2.3217153893762408</v>
      </c>
      <c r="P609" s="2" t="str">
        <f t="shared" si="9"/>
        <v>Low</v>
      </c>
    </row>
    <row r="610" spans="1:16" ht="20.100000000000001" customHeight="1" x14ac:dyDescent="0.3">
      <c r="A610" s="2" t="s">
        <v>457</v>
      </c>
      <c r="B610" s="2" t="s">
        <v>22</v>
      </c>
      <c r="C610" s="3">
        <v>62</v>
      </c>
      <c r="D610" s="2" t="s">
        <v>761</v>
      </c>
      <c r="E610" s="4">
        <v>37.189293650000003</v>
      </c>
      <c r="F610" s="4">
        <v>1.228841335</v>
      </c>
      <c r="G610" s="4">
        <v>3.8566921669999998</v>
      </c>
      <c r="H610" s="2" t="s">
        <v>28</v>
      </c>
      <c r="I610" s="4">
        <v>49.069558960000002</v>
      </c>
      <c r="J610" s="4">
        <v>85.101169409999997</v>
      </c>
      <c r="K610" s="5">
        <v>19.856611579999999</v>
      </c>
      <c r="L610" s="3">
        <v>8.8598257999999999E-2</v>
      </c>
      <c r="M610" s="2" t="s">
        <v>763</v>
      </c>
      <c r="N610" s="2" t="s">
        <v>18</v>
      </c>
      <c r="O610" s="4">
        <v>8.3079388785862438</v>
      </c>
      <c r="P610" s="2" t="str">
        <f t="shared" si="9"/>
        <v>Acceptable</v>
      </c>
    </row>
    <row r="611" spans="1:16" ht="20.100000000000001" customHeight="1" x14ac:dyDescent="0.3">
      <c r="A611" s="2" t="s">
        <v>458</v>
      </c>
      <c r="B611" s="2" t="s">
        <v>770</v>
      </c>
      <c r="C611" s="3">
        <v>62</v>
      </c>
      <c r="D611" s="2" t="s">
        <v>757</v>
      </c>
      <c r="E611" s="4">
        <v>25.711923930000001</v>
      </c>
      <c r="F611" s="4">
        <v>2.3093277169999999</v>
      </c>
      <c r="G611" s="4">
        <v>32.620907770000002</v>
      </c>
      <c r="H611" s="2" t="s">
        <v>14</v>
      </c>
      <c r="I611" s="4">
        <v>37.092955699999997</v>
      </c>
      <c r="J611" s="4">
        <v>84.740887650000005</v>
      </c>
      <c r="K611" s="5">
        <v>8.0051723409999997</v>
      </c>
      <c r="L611" s="3">
        <v>5</v>
      </c>
      <c r="M611" s="2" t="s">
        <v>764</v>
      </c>
      <c r="N611" s="2" t="s">
        <v>18</v>
      </c>
      <c r="O611" s="4">
        <v>7.595744010665344</v>
      </c>
      <c r="P611" s="2" t="str">
        <f t="shared" si="9"/>
        <v>Acceptable</v>
      </c>
    </row>
    <row r="612" spans="1:16" ht="20.100000000000001" customHeight="1" x14ac:dyDescent="0.3">
      <c r="A612" s="2" t="s">
        <v>459</v>
      </c>
      <c r="B612" s="2" t="s">
        <v>770</v>
      </c>
      <c r="C612" s="3">
        <v>100</v>
      </c>
      <c r="D612" s="2" t="s">
        <v>758</v>
      </c>
      <c r="E612" s="4">
        <v>53.648424429999999</v>
      </c>
      <c r="F612" s="4">
        <v>3.408542212</v>
      </c>
      <c r="G612" s="4">
        <v>47.290355249999998</v>
      </c>
      <c r="H612" s="2" t="s">
        <v>14</v>
      </c>
      <c r="I612" s="4">
        <v>21.45527057</v>
      </c>
      <c r="J612" s="4">
        <v>98.163915849999995</v>
      </c>
      <c r="K612" s="5">
        <v>12.025622630000001</v>
      </c>
      <c r="L612" s="3">
        <v>2</v>
      </c>
      <c r="M612" s="2" t="s">
        <v>764</v>
      </c>
      <c r="N612" s="2" t="s">
        <v>15</v>
      </c>
      <c r="O612" s="4">
        <v>41.152979594317557</v>
      </c>
      <c r="P612" s="2" t="str">
        <f t="shared" si="9"/>
        <v>Outstanding</v>
      </c>
    </row>
    <row r="613" spans="1:16" ht="20.100000000000001" customHeight="1" x14ac:dyDescent="0.3">
      <c r="A613" s="2" t="s">
        <v>460</v>
      </c>
      <c r="B613" s="2" t="s">
        <v>769</v>
      </c>
      <c r="C613" s="3">
        <v>100</v>
      </c>
      <c r="D613" s="2" t="s">
        <v>761</v>
      </c>
      <c r="E613" s="4">
        <v>71.162504339999998</v>
      </c>
      <c r="F613" s="4">
        <v>1.202607322</v>
      </c>
      <c r="G613" s="4">
        <v>44.744862650000002</v>
      </c>
      <c r="H613" s="2" t="s">
        <v>24</v>
      </c>
      <c r="I613" s="4">
        <v>48.963543960000003</v>
      </c>
      <c r="J613" s="4">
        <v>92.5723725</v>
      </c>
      <c r="K613" s="5">
        <v>3.7068656820000001</v>
      </c>
      <c r="L613" s="3">
        <v>3.73405531</v>
      </c>
      <c r="M613" s="2" t="s">
        <v>762</v>
      </c>
      <c r="N613" s="2" t="s">
        <v>18</v>
      </c>
      <c r="O613" s="4">
        <v>31.033134502400657</v>
      </c>
      <c r="P613" s="2" t="str">
        <f t="shared" si="9"/>
        <v>Outstanding</v>
      </c>
    </row>
    <row r="614" spans="1:16" ht="20.100000000000001" customHeight="1" x14ac:dyDescent="0.3">
      <c r="A614" s="2" t="s">
        <v>461</v>
      </c>
      <c r="B614" s="2" t="s">
        <v>768</v>
      </c>
      <c r="C614" s="3">
        <v>100</v>
      </c>
      <c r="D614" s="2" t="s">
        <v>759</v>
      </c>
      <c r="E614" s="4">
        <v>8.7516700190000005</v>
      </c>
      <c r="F614" s="4">
        <v>3.1355357019999999</v>
      </c>
      <c r="G614" s="4">
        <v>11.595383269999999</v>
      </c>
      <c r="H614" s="2" t="s">
        <v>28</v>
      </c>
      <c r="I614" s="4">
        <v>53.357182989999998</v>
      </c>
      <c r="J614" s="4">
        <v>91.293171760000007</v>
      </c>
      <c r="K614" s="5">
        <v>4.8543091330000001</v>
      </c>
      <c r="L614" s="3">
        <v>0</v>
      </c>
      <c r="M614" s="2" t="s">
        <v>764</v>
      </c>
      <c r="N614" s="2" t="s">
        <v>21</v>
      </c>
      <c r="O614" s="4">
        <v>3.3200325555952981</v>
      </c>
      <c r="P614" s="2" t="str">
        <f t="shared" si="9"/>
        <v>Acceptable</v>
      </c>
    </row>
    <row r="615" spans="1:16" ht="20.100000000000001" customHeight="1" x14ac:dyDescent="0.3">
      <c r="A615" s="2" t="s">
        <v>462</v>
      </c>
      <c r="B615" s="2" t="s">
        <v>22</v>
      </c>
      <c r="C615" s="3">
        <v>100</v>
      </c>
      <c r="D615" s="2" t="s">
        <v>757</v>
      </c>
      <c r="E615" s="4">
        <v>31.888072340000001</v>
      </c>
      <c r="F615" s="4">
        <v>1.388571419</v>
      </c>
      <c r="G615" s="4">
        <v>39.837174079999997</v>
      </c>
      <c r="H615" s="2" t="s">
        <v>14</v>
      </c>
      <c r="I615" s="4">
        <v>23.174795169999999</v>
      </c>
      <c r="J615" s="4">
        <v>56.489990040000002</v>
      </c>
      <c r="K615" s="5">
        <v>15.848155119999999</v>
      </c>
      <c r="L615" s="3">
        <v>4</v>
      </c>
      <c r="M615" s="2" t="s">
        <v>763</v>
      </c>
      <c r="N615" s="2" t="s">
        <v>15</v>
      </c>
      <c r="O615" s="4">
        <v>10.623573440357568</v>
      </c>
      <c r="P615" s="2" t="str">
        <f t="shared" si="9"/>
        <v>Superior</v>
      </c>
    </row>
    <row r="616" spans="1:16" ht="20.100000000000001" customHeight="1" x14ac:dyDescent="0.3">
      <c r="A616" s="2" t="s">
        <v>463</v>
      </c>
      <c r="B616" s="2" t="s">
        <v>771</v>
      </c>
      <c r="C616" s="3">
        <v>50</v>
      </c>
      <c r="D616" s="2" t="s">
        <v>757</v>
      </c>
      <c r="E616" s="4">
        <v>64.043772700000005</v>
      </c>
      <c r="F616" s="4">
        <v>0.53041932300000005</v>
      </c>
      <c r="G616" s="4">
        <v>46.351653859999999</v>
      </c>
      <c r="H616" s="2" t="s">
        <v>28</v>
      </c>
      <c r="I616" s="4">
        <v>10.96041067</v>
      </c>
      <c r="J616" s="4">
        <v>99.444378580000006</v>
      </c>
      <c r="K616" s="5">
        <v>29.87608955</v>
      </c>
      <c r="L616" s="3">
        <v>0</v>
      </c>
      <c r="M616" s="2" t="s">
        <v>763</v>
      </c>
      <c r="N616" s="2" t="s">
        <v>21</v>
      </c>
      <c r="O616" s="4">
        <v>28.334235642110674</v>
      </c>
      <c r="P616" s="2" t="str">
        <f t="shared" si="9"/>
        <v>Outstanding</v>
      </c>
    </row>
    <row r="617" spans="1:16" ht="20.100000000000001" customHeight="1" x14ac:dyDescent="0.3">
      <c r="A617" s="2" t="s">
        <v>464</v>
      </c>
      <c r="B617" s="2" t="s">
        <v>22</v>
      </c>
      <c r="C617" s="3">
        <v>100</v>
      </c>
      <c r="D617" s="2" t="s">
        <v>761</v>
      </c>
      <c r="E617" s="4">
        <v>72.798500680000004</v>
      </c>
      <c r="F617" s="4">
        <v>3.6753647420000002</v>
      </c>
      <c r="G617" s="4">
        <v>15.442091209999999</v>
      </c>
      <c r="H617" s="2" t="s">
        <v>14</v>
      </c>
      <c r="I617" s="4">
        <v>85.323239999999998</v>
      </c>
      <c r="J617" s="4">
        <v>90.166056350000005</v>
      </c>
      <c r="K617" s="5">
        <v>24.182121519999999</v>
      </c>
      <c r="L617" s="3">
        <v>5</v>
      </c>
      <c r="M617" s="2" t="s">
        <v>763</v>
      </c>
      <c r="N617" s="2" t="s">
        <v>18</v>
      </c>
      <c r="O617" s="4">
        <v>3.5254976934859066</v>
      </c>
      <c r="P617" s="2" t="str">
        <f t="shared" si="9"/>
        <v>Acceptable</v>
      </c>
    </row>
    <row r="618" spans="1:16" ht="20.100000000000001" customHeight="1" x14ac:dyDescent="0.3">
      <c r="A618" s="2" t="s">
        <v>465</v>
      </c>
      <c r="B618" s="2" t="s">
        <v>768</v>
      </c>
      <c r="C618" s="3">
        <v>85</v>
      </c>
      <c r="D618" s="2" t="s">
        <v>759</v>
      </c>
      <c r="E618" s="4">
        <v>67.887574279999995</v>
      </c>
      <c r="F618" s="4">
        <v>1.945335136</v>
      </c>
      <c r="G618" s="4">
        <v>30.126701910000001</v>
      </c>
      <c r="H618" s="2" t="s">
        <v>28</v>
      </c>
      <c r="I618" s="4">
        <v>32.612145480000002</v>
      </c>
      <c r="J618" s="4">
        <v>58.444104330000002</v>
      </c>
      <c r="K618" s="5">
        <v>16.005488639999999</v>
      </c>
      <c r="L618" s="3">
        <v>3</v>
      </c>
      <c r="M618" s="2" t="s">
        <v>763</v>
      </c>
      <c r="N618" s="2" t="s">
        <v>21</v>
      </c>
      <c r="O618" s="4">
        <v>14.906186714431863</v>
      </c>
      <c r="P618" s="2" t="str">
        <f t="shared" si="9"/>
        <v>Superior</v>
      </c>
    </row>
    <row r="619" spans="1:16" ht="20.100000000000001" customHeight="1" x14ac:dyDescent="0.3">
      <c r="A619" s="2" t="s">
        <v>466</v>
      </c>
      <c r="B619" s="2" t="s">
        <v>22</v>
      </c>
      <c r="C619" s="3">
        <v>75</v>
      </c>
      <c r="D619" s="2" t="s">
        <v>761</v>
      </c>
      <c r="E619" s="4">
        <v>41.24835865</v>
      </c>
      <c r="F619" s="4">
        <v>2.8276111660000001</v>
      </c>
      <c r="G619" s="4">
        <v>32.950837180000001</v>
      </c>
      <c r="H619" s="2" t="s">
        <v>28</v>
      </c>
      <c r="I619" s="4">
        <v>18.352147380000002</v>
      </c>
      <c r="J619" s="4">
        <v>50.601029509999996</v>
      </c>
      <c r="K619" s="5">
        <v>3.221734498</v>
      </c>
      <c r="L619" s="3">
        <v>5</v>
      </c>
      <c r="M619" s="2" t="s">
        <v>764</v>
      </c>
      <c r="N619" s="2" t="s">
        <v>18</v>
      </c>
      <c r="O619" s="4">
        <v>9.9766009211986191</v>
      </c>
      <c r="P619" s="2" t="str">
        <f t="shared" si="9"/>
        <v>Acceptable</v>
      </c>
    </row>
    <row r="620" spans="1:16" ht="20.100000000000001" customHeight="1" x14ac:dyDescent="0.3">
      <c r="A620" s="2" t="s">
        <v>467</v>
      </c>
      <c r="B620" s="2" t="s">
        <v>770</v>
      </c>
      <c r="C620" s="3">
        <v>100</v>
      </c>
      <c r="D620" s="2" t="s">
        <v>761</v>
      </c>
      <c r="E620" s="4">
        <v>35.024111189999999</v>
      </c>
      <c r="F620" s="4">
        <v>0.91867242400000004</v>
      </c>
      <c r="G620" s="4">
        <v>32.092788480000003</v>
      </c>
      <c r="H620" s="2" t="s">
        <v>14</v>
      </c>
      <c r="I620" s="4">
        <v>15.989490350000001</v>
      </c>
      <c r="J620" s="4">
        <v>91.813419909999993</v>
      </c>
      <c r="K620" s="5">
        <v>14.61983826</v>
      </c>
      <c r="L620" s="3">
        <v>4.7894567050000001</v>
      </c>
      <c r="M620" s="2" t="s">
        <v>762</v>
      </c>
      <c r="N620" s="2" t="s">
        <v>21</v>
      </c>
      <c r="O620" s="4">
        <v>26.556657397721676</v>
      </c>
      <c r="P620" s="2" t="str">
        <f t="shared" si="9"/>
        <v>Outstanding</v>
      </c>
    </row>
    <row r="621" spans="1:16" ht="20.100000000000001" customHeight="1" x14ac:dyDescent="0.3">
      <c r="A621" s="2" t="s">
        <v>468</v>
      </c>
      <c r="B621" s="2" t="s">
        <v>768</v>
      </c>
      <c r="C621" s="3">
        <v>100</v>
      </c>
      <c r="D621" s="2" t="s">
        <v>757</v>
      </c>
      <c r="E621" s="4">
        <v>54.913205660000003</v>
      </c>
      <c r="F621" s="4">
        <v>2.040456464</v>
      </c>
      <c r="G621" s="4">
        <v>7.6003728480000001</v>
      </c>
      <c r="H621" s="2" t="s">
        <v>14</v>
      </c>
      <c r="I621" s="4">
        <v>40.234728509999997</v>
      </c>
      <c r="J621" s="4">
        <v>86.300402199999994</v>
      </c>
      <c r="K621" s="5">
        <v>2.7655016899999998</v>
      </c>
      <c r="L621" s="3">
        <v>1</v>
      </c>
      <c r="M621" s="2" t="s">
        <v>764</v>
      </c>
      <c r="N621" s="2" t="s">
        <v>18</v>
      </c>
      <c r="O621" s="4">
        <v>25.29613813205421</v>
      </c>
      <c r="P621" s="2" t="str">
        <f t="shared" si="9"/>
        <v>Outstanding</v>
      </c>
    </row>
    <row r="622" spans="1:16" ht="20.100000000000001" customHeight="1" x14ac:dyDescent="0.3">
      <c r="A622" s="2" t="s">
        <v>469</v>
      </c>
      <c r="B622" s="2" t="s">
        <v>771</v>
      </c>
      <c r="C622" s="3">
        <v>75</v>
      </c>
      <c r="D622" s="2" t="s">
        <v>759</v>
      </c>
      <c r="E622" s="4">
        <v>51.023353</v>
      </c>
      <c r="F622" s="4">
        <v>3.034842754</v>
      </c>
      <c r="G622" s="4">
        <v>45.801499440000001</v>
      </c>
      <c r="H622" s="2" t="s">
        <v>24</v>
      </c>
      <c r="I622" s="4">
        <v>50.762355730000003</v>
      </c>
      <c r="J622" s="4">
        <v>61.774039780000003</v>
      </c>
      <c r="K622" s="5">
        <v>11.007994869999999</v>
      </c>
      <c r="L622" s="3">
        <v>1</v>
      </c>
      <c r="M622" s="2" t="s">
        <v>762</v>
      </c>
      <c r="N622" s="2" t="s">
        <v>18</v>
      </c>
      <c r="O622" s="4">
        <v>4.2138978180571476</v>
      </c>
      <c r="P622" s="2" t="str">
        <f t="shared" si="9"/>
        <v>Acceptable</v>
      </c>
    </row>
    <row r="623" spans="1:16" ht="20.100000000000001" customHeight="1" x14ac:dyDescent="0.3">
      <c r="A623" s="2" t="s">
        <v>470</v>
      </c>
      <c r="B623" s="2" t="s">
        <v>22</v>
      </c>
      <c r="C623" s="3">
        <v>12.033336970000001</v>
      </c>
      <c r="D623" s="2" t="s">
        <v>761</v>
      </c>
      <c r="E623" s="4">
        <v>62.633592530000001</v>
      </c>
      <c r="F623" s="4">
        <v>0.66885443099999997</v>
      </c>
      <c r="G623" s="4">
        <v>9.0385071099999994</v>
      </c>
      <c r="H623" s="2" t="s">
        <v>14</v>
      </c>
      <c r="I623" s="4">
        <v>14.33606471</v>
      </c>
      <c r="J623" s="4">
        <v>94.939859709999993</v>
      </c>
      <c r="K623" s="5">
        <v>47.318176149999999</v>
      </c>
      <c r="L623" s="3">
        <v>0</v>
      </c>
      <c r="M623" s="2" t="s">
        <v>764</v>
      </c>
      <c r="N623" s="2" t="s">
        <v>18</v>
      </c>
      <c r="O623" s="4">
        <v>6.0750364896963971</v>
      </c>
      <c r="P623" s="2" t="str">
        <f t="shared" si="9"/>
        <v>Acceptable</v>
      </c>
    </row>
    <row r="624" spans="1:16" ht="20.100000000000001" customHeight="1" x14ac:dyDescent="0.3">
      <c r="A624" s="2" t="s">
        <v>471</v>
      </c>
      <c r="B624" s="2" t="s">
        <v>22</v>
      </c>
      <c r="C624" s="3">
        <v>100</v>
      </c>
      <c r="D624" s="2" t="s">
        <v>759</v>
      </c>
      <c r="E624" s="4">
        <v>47.200215550000003</v>
      </c>
      <c r="F624" s="4">
        <v>4.1464979499999997</v>
      </c>
      <c r="G624" s="4">
        <v>43.114779830000003</v>
      </c>
      <c r="H624" s="2" t="s">
        <v>24</v>
      </c>
      <c r="I624" s="4">
        <v>36.351207350000003</v>
      </c>
      <c r="J624" s="4">
        <v>90.257368659999997</v>
      </c>
      <c r="K624" s="5">
        <v>37.58491867</v>
      </c>
      <c r="L624" s="3">
        <v>5</v>
      </c>
      <c r="M624" s="2" t="s">
        <v>762</v>
      </c>
      <c r="N624" s="2" t="s">
        <v>18</v>
      </c>
      <c r="O624" s="4">
        <v>25.443824333050699</v>
      </c>
      <c r="P624" s="2" t="str">
        <f t="shared" si="9"/>
        <v>Outstanding</v>
      </c>
    </row>
    <row r="625" spans="1:16" ht="20.100000000000001" customHeight="1" x14ac:dyDescent="0.3">
      <c r="A625" s="2" t="s">
        <v>472</v>
      </c>
      <c r="B625" s="2" t="s">
        <v>771</v>
      </c>
      <c r="C625" s="3">
        <v>75</v>
      </c>
      <c r="D625" s="2" t="s">
        <v>759</v>
      </c>
      <c r="E625" s="4">
        <v>18.529060699999999</v>
      </c>
      <c r="F625" s="4">
        <v>2.336419695</v>
      </c>
      <c r="G625" s="4">
        <v>6.3463350749999998</v>
      </c>
      <c r="H625" s="2" t="s">
        <v>14</v>
      </c>
      <c r="I625" s="4">
        <v>49.892801669999997</v>
      </c>
      <c r="J625" s="4">
        <v>52.107077850000003</v>
      </c>
      <c r="K625" s="5">
        <v>38.790525199999998</v>
      </c>
      <c r="L625" s="3">
        <v>1</v>
      </c>
      <c r="M625" s="2" t="s">
        <v>762</v>
      </c>
      <c r="N625" s="2" t="s">
        <v>21</v>
      </c>
      <c r="O625" s="4">
        <v>0.30771343309338173</v>
      </c>
      <c r="P625" s="2" t="str">
        <f t="shared" si="9"/>
        <v>Low</v>
      </c>
    </row>
    <row r="626" spans="1:16" ht="20.100000000000001" customHeight="1" x14ac:dyDescent="0.3">
      <c r="A626" s="2" t="s">
        <v>66</v>
      </c>
      <c r="B626" s="2" t="s">
        <v>769</v>
      </c>
      <c r="C626" s="3">
        <v>62</v>
      </c>
      <c r="D626" s="2" t="s">
        <v>761</v>
      </c>
      <c r="E626" s="4">
        <v>32.832956830000001</v>
      </c>
      <c r="F626" s="4">
        <v>3.408638345</v>
      </c>
      <c r="G626" s="4">
        <v>44.492366140000001</v>
      </c>
      <c r="H626" s="2" t="s">
        <v>28</v>
      </c>
      <c r="I626" s="4">
        <v>26.65472205</v>
      </c>
      <c r="J626" s="4">
        <v>63.710626920000003</v>
      </c>
      <c r="K626" s="5">
        <v>5.8033894979999996</v>
      </c>
      <c r="L626" s="3">
        <v>1</v>
      </c>
      <c r="M626" s="2" t="s">
        <v>763</v>
      </c>
      <c r="N626" s="2" t="s">
        <v>18</v>
      </c>
      <c r="O626" s="4">
        <v>7.5432605343384411</v>
      </c>
      <c r="P626" s="2" t="str">
        <f t="shared" si="9"/>
        <v>Acceptable</v>
      </c>
    </row>
    <row r="627" spans="1:16" ht="20.100000000000001" customHeight="1" x14ac:dyDescent="0.3">
      <c r="A627" s="2" t="s">
        <v>473</v>
      </c>
      <c r="B627" s="2" t="s">
        <v>771</v>
      </c>
      <c r="C627" s="3">
        <v>75</v>
      </c>
      <c r="D627" s="2" t="s">
        <v>761</v>
      </c>
      <c r="E627" s="4">
        <v>20.026313859999998</v>
      </c>
      <c r="F627" s="4">
        <v>1.8269336869999999</v>
      </c>
      <c r="G627" s="4">
        <v>41.617842150000001</v>
      </c>
      <c r="H627" s="2" t="s">
        <v>28</v>
      </c>
      <c r="I627" s="4">
        <v>20.45340921</v>
      </c>
      <c r="J627" s="4">
        <v>35.974079019999998</v>
      </c>
      <c r="K627" s="5">
        <v>25.257121949999998</v>
      </c>
      <c r="L627" s="3">
        <v>4</v>
      </c>
      <c r="M627" s="2" t="s">
        <v>763</v>
      </c>
      <c r="N627" s="2" t="s">
        <v>15</v>
      </c>
      <c r="O627" s="4">
        <v>2.3311635369936488</v>
      </c>
      <c r="P627" s="2" t="str">
        <f t="shared" si="9"/>
        <v>Low</v>
      </c>
    </row>
    <row r="628" spans="1:16" ht="20.100000000000001" customHeight="1" x14ac:dyDescent="0.3">
      <c r="A628" s="2" t="s">
        <v>474</v>
      </c>
      <c r="B628" s="2" t="s">
        <v>769</v>
      </c>
      <c r="C628" s="3">
        <v>100</v>
      </c>
      <c r="D628" s="2" t="s">
        <v>761</v>
      </c>
      <c r="E628" s="4">
        <v>47.995751660000003</v>
      </c>
      <c r="F628" s="4">
        <v>2.6912705190000001</v>
      </c>
      <c r="G628" s="4">
        <v>39.154830349999997</v>
      </c>
      <c r="H628" s="2" t="s">
        <v>14</v>
      </c>
      <c r="I628" s="4">
        <v>54.786791000000001</v>
      </c>
      <c r="J628" s="4">
        <v>78.983741390000006</v>
      </c>
      <c r="K628" s="5">
        <v>17.58806538</v>
      </c>
      <c r="L628" s="3">
        <v>2</v>
      </c>
      <c r="M628" s="2" t="s">
        <v>762</v>
      </c>
      <c r="N628" s="2" t="s">
        <v>21</v>
      </c>
      <c r="O628" s="4">
        <v>11.613508218477804</v>
      </c>
      <c r="P628" s="2" t="str">
        <f t="shared" si="9"/>
        <v>Superior</v>
      </c>
    </row>
    <row r="629" spans="1:16" ht="20.100000000000001" customHeight="1" x14ac:dyDescent="0.3">
      <c r="A629" s="2" t="s">
        <v>475</v>
      </c>
      <c r="B629" s="2" t="s">
        <v>770</v>
      </c>
      <c r="C629" s="3">
        <v>100</v>
      </c>
      <c r="D629" s="2" t="s">
        <v>761</v>
      </c>
      <c r="E629" s="4">
        <v>60.704804709999998</v>
      </c>
      <c r="F629" s="4">
        <v>3.072487534</v>
      </c>
      <c r="G629" s="4">
        <v>8.3648230510000001</v>
      </c>
      <c r="H629" s="2" t="s">
        <v>14</v>
      </c>
      <c r="I629" s="4">
        <v>51.67016366</v>
      </c>
      <c r="J629" s="4">
        <v>69.688096060000007</v>
      </c>
      <c r="K629" s="5">
        <v>50.543943089999999</v>
      </c>
      <c r="L629" s="3">
        <v>6</v>
      </c>
      <c r="M629" s="2" t="s">
        <v>762</v>
      </c>
      <c r="N629" s="2" t="s">
        <v>15</v>
      </c>
      <c r="O629" s="4">
        <v>10.937750676199819</v>
      </c>
      <c r="P629" s="2" t="str">
        <f t="shared" si="9"/>
        <v>Superior</v>
      </c>
    </row>
    <row r="630" spans="1:16" ht="20.100000000000001" customHeight="1" x14ac:dyDescent="0.3">
      <c r="A630" s="2" t="s">
        <v>476</v>
      </c>
      <c r="B630" s="2" t="s">
        <v>769</v>
      </c>
      <c r="C630" s="3">
        <v>75</v>
      </c>
      <c r="D630" s="2" t="s">
        <v>761</v>
      </c>
      <c r="E630" s="4">
        <v>44.8755734</v>
      </c>
      <c r="F630" s="4">
        <v>1.6791984280000001</v>
      </c>
      <c r="G630" s="4">
        <v>9.7661498800000004</v>
      </c>
      <c r="H630" s="2" t="s">
        <v>17</v>
      </c>
      <c r="I630" s="4">
        <v>62.890811749999997</v>
      </c>
      <c r="J630" s="4">
        <v>65.648348639999995</v>
      </c>
      <c r="K630" s="5">
        <v>22.966643510000001</v>
      </c>
      <c r="L630" s="3">
        <v>4.0626881490000004</v>
      </c>
      <c r="M630" s="2" t="s">
        <v>762</v>
      </c>
      <c r="N630" s="2" t="s">
        <v>15</v>
      </c>
      <c r="O630" s="4">
        <v>0.92809536832801953</v>
      </c>
      <c r="P630" s="2" t="str">
        <f t="shared" si="9"/>
        <v>Low</v>
      </c>
    </row>
    <row r="631" spans="1:16" ht="20.100000000000001" customHeight="1" x14ac:dyDescent="0.3">
      <c r="A631" s="2" t="s">
        <v>477</v>
      </c>
      <c r="B631" s="2" t="s">
        <v>771</v>
      </c>
      <c r="C631" s="3">
        <v>50</v>
      </c>
      <c r="D631" s="2" t="s">
        <v>757</v>
      </c>
      <c r="E631" s="4">
        <v>24.79706406</v>
      </c>
      <c r="F631" s="4">
        <v>3.8207884939999999</v>
      </c>
      <c r="G631" s="4">
        <v>36.218283220000004</v>
      </c>
      <c r="H631" s="2" t="s">
        <v>14</v>
      </c>
      <c r="I631" s="4">
        <v>20.93846607</v>
      </c>
      <c r="J631" s="4">
        <v>31.80402101</v>
      </c>
      <c r="K631" s="5">
        <v>23.350394510000001</v>
      </c>
      <c r="L631" s="3">
        <v>7</v>
      </c>
      <c r="M631" s="2" t="s">
        <v>763</v>
      </c>
      <c r="N631" s="2" t="s">
        <v>15</v>
      </c>
      <c r="O631" s="4">
        <v>1.3471693094731472</v>
      </c>
      <c r="P631" s="2" t="str">
        <f t="shared" si="9"/>
        <v>Low</v>
      </c>
    </row>
    <row r="632" spans="1:16" ht="20.100000000000001" customHeight="1" x14ac:dyDescent="0.3">
      <c r="A632" s="2" t="s">
        <v>67</v>
      </c>
      <c r="B632" s="2" t="s">
        <v>770</v>
      </c>
      <c r="C632" s="3">
        <v>50</v>
      </c>
      <c r="D632" s="2" t="s">
        <v>758</v>
      </c>
      <c r="E632" s="4">
        <v>57.924450040000004</v>
      </c>
      <c r="F632" s="4">
        <v>1.2611172930000001</v>
      </c>
      <c r="G632" s="4">
        <v>12.538161909999999</v>
      </c>
      <c r="H632" s="2" t="s">
        <v>17</v>
      </c>
      <c r="I632" s="4">
        <v>49.872034050000003</v>
      </c>
      <c r="J632" s="4">
        <v>54.261433019999998</v>
      </c>
      <c r="K632" s="5">
        <v>1.8254496870000001</v>
      </c>
      <c r="L632" s="3">
        <v>1</v>
      </c>
      <c r="M632" s="2" t="s">
        <v>762</v>
      </c>
      <c r="N632" s="2" t="s">
        <v>18</v>
      </c>
      <c r="O632" s="4">
        <v>1.2712676067169608</v>
      </c>
      <c r="P632" s="2" t="str">
        <f t="shared" si="9"/>
        <v>Low</v>
      </c>
    </row>
    <row r="633" spans="1:16" ht="20.100000000000001" customHeight="1" x14ac:dyDescent="0.3">
      <c r="A633" s="2" t="s">
        <v>478</v>
      </c>
      <c r="B633" s="2" t="s">
        <v>771</v>
      </c>
      <c r="C633" s="3">
        <v>62</v>
      </c>
      <c r="D633" s="2" t="s">
        <v>758</v>
      </c>
      <c r="E633" s="4">
        <v>22.572882450000002</v>
      </c>
      <c r="F633" s="4">
        <v>2.9601474900000002</v>
      </c>
      <c r="G633" s="4">
        <v>25.291575949999999</v>
      </c>
      <c r="H633" s="2" t="s">
        <v>28</v>
      </c>
      <c r="I633" s="4">
        <v>51.550008419999997</v>
      </c>
      <c r="J633" s="4">
        <v>74.144402099999994</v>
      </c>
      <c r="K633" s="5">
        <v>24.411793930000002</v>
      </c>
      <c r="L633" s="3">
        <v>0</v>
      </c>
      <c r="M633" s="2" t="s">
        <v>762</v>
      </c>
      <c r="N633" s="2" t="s">
        <v>15</v>
      </c>
      <c r="O633" s="4">
        <v>3.1621276739195099</v>
      </c>
      <c r="P633" s="2" t="str">
        <f t="shared" si="9"/>
        <v>Acceptable</v>
      </c>
    </row>
    <row r="634" spans="1:16" ht="20.100000000000001" customHeight="1" x14ac:dyDescent="0.3">
      <c r="A634" s="2" t="s">
        <v>479</v>
      </c>
      <c r="B634" s="2" t="s">
        <v>769</v>
      </c>
      <c r="C634" s="3">
        <v>96.60872071</v>
      </c>
      <c r="D634" s="2" t="s">
        <v>759</v>
      </c>
      <c r="E634" s="4">
        <v>56.516455880000002</v>
      </c>
      <c r="F634" s="4">
        <v>3.003171547</v>
      </c>
      <c r="G634" s="4">
        <v>47.829480459999999</v>
      </c>
      <c r="H634" s="2" t="s">
        <v>14</v>
      </c>
      <c r="I634" s="4">
        <v>58.109374150000001</v>
      </c>
      <c r="J634" s="4">
        <v>83.744384080000003</v>
      </c>
      <c r="K634" s="5">
        <v>69.48593769</v>
      </c>
      <c r="L634" s="3">
        <v>0</v>
      </c>
      <c r="M634" s="2" t="s">
        <v>762</v>
      </c>
      <c r="N634" s="2" t="s">
        <v>18</v>
      </c>
      <c r="O634" s="4">
        <v>13.996670564691021</v>
      </c>
      <c r="P634" s="2" t="str">
        <f t="shared" si="9"/>
        <v>Superior</v>
      </c>
    </row>
    <row r="635" spans="1:16" ht="20.100000000000001" customHeight="1" x14ac:dyDescent="0.3">
      <c r="A635" s="2" t="s">
        <v>480</v>
      </c>
      <c r="B635" s="2" t="s">
        <v>22</v>
      </c>
      <c r="C635" s="3">
        <v>85</v>
      </c>
      <c r="D635" s="2" t="s">
        <v>761</v>
      </c>
      <c r="E635" s="4">
        <v>76.449907109999998</v>
      </c>
      <c r="F635" s="4">
        <v>2.272736337</v>
      </c>
      <c r="G635" s="4">
        <v>20.55231728</v>
      </c>
      <c r="H635" s="2" t="s">
        <v>14</v>
      </c>
      <c r="I635" s="4">
        <v>18.761399359999999</v>
      </c>
      <c r="J635" s="4">
        <v>62.33419327</v>
      </c>
      <c r="K635" s="5">
        <v>32.607964199999998</v>
      </c>
      <c r="L635" s="3">
        <v>3</v>
      </c>
      <c r="M635" s="2" t="s">
        <v>764</v>
      </c>
      <c r="N635" s="2" t="s">
        <v>21</v>
      </c>
      <c r="O635" s="4">
        <v>28.314656399012723</v>
      </c>
      <c r="P635" s="2" t="str">
        <f t="shared" si="9"/>
        <v>Outstanding</v>
      </c>
    </row>
    <row r="636" spans="1:16" ht="20.100000000000001" customHeight="1" x14ac:dyDescent="0.3">
      <c r="A636" s="2" t="s">
        <v>481</v>
      </c>
      <c r="B636" s="2" t="s">
        <v>768</v>
      </c>
      <c r="C636" s="3">
        <v>100</v>
      </c>
      <c r="D636" s="2" t="s">
        <v>757</v>
      </c>
      <c r="E636" s="4">
        <v>55.782595729999997</v>
      </c>
      <c r="F636" s="4">
        <v>1.279709491</v>
      </c>
      <c r="G636" s="4">
        <v>5.5921960579999999</v>
      </c>
      <c r="H636" s="2" t="s">
        <v>28</v>
      </c>
      <c r="I636" s="4">
        <v>50.337589289999997</v>
      </c>
      <c r="J636" s="4">
        <v>86.23333848</v>
      </c>
      <c r="K636" s="5">
        <v>15.8067718</v>
      </c>
      <c r="L636" s="3">
        <v>1</v>
      </c>
      <c r="M636" s="2" t="s">
        <v>762</v>
      </c>
      <c r="N636" s="2" t="s">
        <v>18</v>
      </c>
      <c r="O636" s="4">
        <v>20.02358065491245</v>
      </c>
      <c r="P636" s="2" t="str">
        <f t="shared" si="9"/>
        <v>Outstanding</v>
      </c>
    </row>
    <row r="637" spans="1:16" ht="20.100000000000001" customHeight="1" x14ac:dyDescent="0.3">
      <c r="A637" s="2" t="s">
        <v>482</v>
      </c>
      <c r="B637" s="2" t="s">
        <v>768</v>
      </c>
      <c r="C637" s="3">
        <v>73.850027159999996</v>
      </c>
      <c r="D637" s="2" t="s">
        <v>757</v>
      </c>
      <c r="E637" s="4">
        <v>37.055621590000001</v>
      </c>
      <c r="F637" s="4">
        <v>1.6833729719999999</v>
      </c>
      <c r="G637" s="4">
        <v>7.3224185390000001</v>
      </c>
      <c r="H637" s="2" t="s">
        <v>14</v>
      </c>
      <c r="I637" s="4">
        <v>34.218319520000001</v>
      </c>
      <c r="J637" s="4">
        <v>63.348097009999996</v>
      </c>
      <c r="K637" s="5">
        <v>5.6646126580000002</v>
      </c>
      <c r="L637" s="3">
        <v>7</v>
      </c>
      <c r="M637" s="2" t="s">
        <v>763</v>
      </c>
      <c r="N637" s="2" t="s">
        <v>21</v>
      </c>
      <c r="O637" s="4">
        <v>7.971534487895644</v>
      </c>
      <c r="P637" s="2" t="str">
        <f t="shared" si="9"/>
        <v>Acceptable</v>
      </c>
    </row>
    <row r="638" spans="1:16" ht="20.100000000000001" customHeight="1" x14ac:dyDescent="0.3">
      <c r="A638" s="2" t="s">
        <v>68</v>
      </c>
      <c r="B638" s="2" t="s">
        <v>770</v>
      </c>
      <c r="C638" s="3">
        <v>100</v>
      </c>
      <c r="D638" s="2" t="s">
        <v>757</v>
      </c>
      <c r="E638" s="4">
        <v>21.65616412</v>
      </c>
      <c r="F638" s="4">
        <v>1.8944268879999999</v>
      </c>
      <c r="G638" s="4">
        <v>32.954510820000003</v>
      </c>
      <c r="H638" s="2" t="s">
        <v>24</v>
      </c>
      <c r="I638" s="4">
        <v>78.434628259999997</v>
      </c>
      <c r="J638" s="4">
        <v>97.725440359999993</v>
      </c>
      <c r="K638" s="5">
        <v>10.401511429999999</v>
      </c>
      <c r="L638" s="3">
        <v>3</v>
      </c>
      <c r="M638" s="2" t="s">
        <v>762</v>
      </c>
      <c r="N638" s="2" t="s">
        <v>18</v>
      </c>
      <c r="O638" s="4">
        <v>4.1776499284568178</v>
      </c>
      <c r="P638" s="2" t="str">
        <f t="shared" si="9"/>
        <v>Acceptable</v>
      </c>
    </row>
    <row r="639" spans="1:16" ht="20.100000000000001" customHeight="1" x14ac:dyDescent="0.3">
      <c r="A639" s="2" t="s">
        <v>483</v>
      </c>
      <c r="B639" s="2" t="s">
        <v>771</v>
      </c>
      <c r="C639" s="3">
        <v>75</v>
      </c>
      <c r="D639" s="2" t="s">
        <v>758</v>
      </c>
      <c r="E639" s="4">
        <v>44.769741920000001</v>
      </c>
      <c r="F639" s="4">
        <v>0.64069541900000004</v>
      </c>
      <c r="G639" s="4">
        <v>20.590235580000002</v>
      </c>
      <c r="H639" s="2" t="s">
        <v>14</v>
      </c>
      <c r="I639" s="4">
        <v>64.110146850000007</v>
      </c>
      <c r="J639" s="4">
        <v>90.552147090000005</v>
      </c>
      <c r="K639" s="5">
        <v>24.258156110000002</v>
      </c>
      <c r="L639" s="3">
        <v>2</v>
      </c>
      <c r="M639" s="2" t="s">
        <v>763</v>
      </c>
      <c r="N639" s="2" t="s">
        <v>15</v>
      </c>
      <c r="O639" s="4">
        <v>8.8785114494503361</v>
      </c>
      <c r="P639" s="2" t="str">
        <f t="shared" si="9"/>
        <v>Acceptable</v>
      </c>
    </row>
    <row r="640" spans="1:16" ht="20.100000000000001" customHeight="1" x14ac:dyDescent="0.3">
      <c r="A640" s="2" t="s">
        <v>484</v>
      </c>
      <c r="B640" s="2" t="s">
        <v>22</v>
      </c>
      <c r="C640" s="3">
        <v>53.973658659999998</v>
      </c>
      <c r="D640" s="2" t="s">
        <v>757</v>
      </c>
      <c r="E640" s="4">
        <v>65.120425749999995</v>
      </c>
      <c r="F640" s="4">
        <v>2.4260583769999999</v>
      </c>
      <c r="G640" s="4">
        <v>12.309725070000001</v>
      </c>
      <c r="H640" s="2" t="s">
        <v>17</v>
      </c>
      <c r="I640" s="4">
        <v>10.42770632</v>
      </c>
      <c r="J640" s="4">
        <v>107.093968</v>
      </c>
      <c r="K640" s="5">
        <v>16.403827329999999</v>
      </c>
      <c r="L640" s="3">
        <v>7</v>
      </c>
      <c r="M640" s="2" t="s">
        <v>764</v>
      </c>
      <c r="N640" s="2" t="s">
        <v>15</v>
      </c>
      <c r="O640" s="4">
        <v>33.976138090956276</v>
      </c>
      <c r="P640" s="2" t="str">
        <f t="shared" si="9"/>
        <v>Outstanding</v>
      </c>
    </row>
    <row r="641" spans="1:16" ht="20.100000000000001" customHeight="1" x14ac:dyDescent="0.3">
      <c r="A641" s="2" t="s">
        <v>485</v>
      </c>
      <c r="B641" s="2" t="s">
        <v>771</v>
      </c>
      <c r="C641" s="3">
        <v>50</v>
      </c>
      <c r="D641" s="2" t="s">
        <v>757</v>
      </c>
      <c r="E641" s="4">
        <v>64.000021169999997</v>
      </c>
      <c r="F641" s="4">
        <v>3.4456218110000001</v>
      </c>
      <c r="G641" s="4">
        <v>30.22669453</v>
      </c>
      <c r="H641" s="2" t="s">
        <v>28</v>
      </c>
      <c r="I641" s="4">
        <v>25.461538149999999</v>
      </c>
      <c r="J641" s="4">
        <v>89.741978739999993</v>
      </c>
      <c r="K641" s="5">
        <v>38.35167543</v>
      </c>
      <c r="L641" s="3">
        <v>0</v>
      </c>
      <c r="M641" s="2" t="s">
        <v>764</v>
      </c>
      <c r="N641" s="2" t="s">
        <v>18</v>
      </c>
      <c r="O641" s="4">
        <v>20.569747792884638</v>
      </c>
      <c r="P641" s="2" t="str">
        <f t="shared" si="9"/>
        <v>Outstanding</v>
      </c>
    </row>
    <row r="642" spans="1:16" ht="20.100000000000001" customHeight="1" x14ac:dyDescent="0.3">
      <c r="A642" s="2" t="s">
        <v>486</v>
      </c>
      <c r="B642" s="2" t="s">
        <v>22</v>
      </c>
      <c r="C642" s="3">
        <v>85</v>
      </c>
      <c r="D642" s="2" t="s">
        <v>760</v>
      </c>
      <c r="E642" s="4">
        <v>5.0138896470000001</v>
      </c>
      <c r="F642" s="4">
        <v>1.012339128</v>
      </c>
      <c r="G642" s="4">
        <v>46.875109639999998</v>
      </c>
      <c r="H642" s="2" t="s">
        <v>17</v>
      </c>
      <c r="I642" s="4">
        <v>12.62370187</v>
      </c>
      <c r="J642" s="4">
        <v>93.114478730000002</v>
      </c>
      <c r="K642" s="5">
        <v>1.602716085</v>
      </c>
      <c r="L642" s="3">
        <v>1</v>
      </c>
      <c r="M642" s="2" t="s">
        <v>764</v>
      </c>
      <c r="N642" s="2" t="s">
        <v>21</v>
      </c>
      <c r="O642" s="4">
        <v>3.4303609186074002</v>
      </c>
      <c r="P642" s="2" t="str">
        <f t="shared" si="9"/>
        <v>Acceptable</v>
      </c>
    </row>
    <row r="643" spans="1:16" ht="20.100000000000001" customHeight="1" x14ac:dyDescent="0.3">
      <c r="A643" s="2" t="s">
        <v>487</v>
      </c>
      <c r="B643" s="2" t="s">
        <v>769</v>
      </c>
      <c r="C643" s="3">
        <v>75</v>
      </c>
      <c r="D643" s="2" t="s">
        <v>758</v>
      </c>
      <c r="E643" s="4">
        <v>40.257196880000002</v>
      </c>
      <c r="F643" s="4">
        <v>1.441548759</v>
      </c>
      <c r="G643" s="4">
        <v>17.947394589999998</v>
      </c>
      <c r="H643" s="2" t="s">
        <v>24</v>
      </c>
      <c r="I643" s="4">
        <v>28.84132949</v>
      </c>
      <c r="J643" s="4">
        <v>85.275302710000005</v>
      </c>
      <c r="K643" s="5">
        <v>31.602356879999999</v>
      </c>
      <c r="L643" s="3">
        <v>6</v>
      </c>
      <c r="M643" s="2" t="s">
        <v>763</v>
      </c>
      <c r="N643" s="2" t="s">
        <v>21</v>
      </c>
      <c r="O643" s="4">
        <v>17.039051779786412</v>
      </c>
      <c r="P643" s="2" t="str">
        <f t="shared" ref="P643:P706" si="10">IF(O643 &lt; 3, "Low", IF(O643 &lt; 10, "Acceptable", IF(O643 &lt; 20, "Superior", "Outstanding")))</f>
        <v>Superior</v>
      </c>
    </row>
    <row r="644" spans="1:16" ht="20.100000000000001" customHeight="1" x14ac:dyDescent="0.3">
      <c r="A644" s="2" t="s">
        <v>488</v>
      </c>
      <c r="B644" s="2" t="s">
        <v>768</v>
      </c>
      <c r="C644" s="3">
        <v>85</v>
      </c>
      <c r="D644" s="2" t="s">
        <v>759</v>
      </c>
      <c r="E644" s="4">
        <v>54.884964510000003</v>
      </c>
      <c r="F644" s="4">
        <v>3.036137885</v>
      </c>
      <c r="G644" s="4">
        <v>15.014209060000001</v>
      </c>
      <c r="H644" s="2" t="s">
        <v>17</v>
      </c>
      <c r="I644" s="4">
        <v>88.507897369999995</v>
      </c>
      <c r="J644" s="4">
        <v>94.472198640000002</v>
      </c>
      <c r="K644" s="5">
        <v>2.5905175229999999</v>
      </c>
      <c r="L644" s="3">
        <v>5</v>
      </c>
      <c r="M644" s="2" t="s">
        <v>763</v>
      </c>
      <c r="N644" s="2" t="s">
        <v>18</v>
      </c>
      <c r="O644" s="4">
        <v>2.782478940012636</v>
      </c>
      <c r="P644" s="2" t="str">
        <f t="shared" si="10"/>
        <v>Low</v>
      </c>
    </row>
    <row r="645" spans="1:16" ht="20.100000000000001" customHeight="1" x14ac:dyDescent="0.3">
      <c r="A645" s="2" t="s">
        <v>489</v>
      </c>
      <c r="B645" s="2" t="s">
        <v>768</v>
      </c>
      <c r="C645" s="3">
        <v>100</v>
      </c>
      <c r="D645" s="2" t="s">
        <v>760</v>
      </c>
      <c r="E645" s="4">
        <v>55.655332790000003</v>
      </c>
      <c r="F645" s="4">
        <v>1.6789749890000001</v>
      </c>
      <c r="G645" s="4">
        <v>30.40482982</v>
      </c>
      <c r="H645" s="2" t="s">
        <v>14</v>
      </c>
      <c r="I645" s="4">
        <v>11.01254162</v>
      </c>
      <c r="J645" s="4">
        <v>59.816511200000001</v>
      </c>
      <c r="K645" s="5">
        <v>16.052798429999999</v>
      </c>
      <c r="L645" s="3">
        <v>2</v>
      </c>
      <c r="M645" s="2" t="s">
        <v>762</v>
      </c>
      <c r="N645" s="2" t="s">
        <v>21</v>
      </c>
      <c r="O645" s="4">
        <v>27.162011684479367</v>
      </c>
      <c r="P645" s="2" t="str">
        <f t="shared" si="10"/>
        <v>Outstanding</v>
      </c>
    </row>
    <row r="646" spans="1:16" ht="20.100000000000001" customHeight="1" x14ac:dyDescent="0.3">
      <c r="A646" s="2" t="s">
        <v>490</v>
      </c>
      <c r="B646" s="2" t="s">
        <v>770</v>
      </c>
      <c r="C646" s="3">
        <v>85</v>
      </c>
      <c r="D646" s="2" t="s">
        <v>761</v>
      </c>
      <c r="E646" s="4">
        <v>48.757672599999999</v>
      </c>
      <c r="F646" s="4">
        <v>2.5168865330000001</v>
      </c>
      <c r="G646" s="4">
        <v>34.481230719999999</v>
      </c>
      <c r="H646" s="2" t="s">
        <v>28</v>
      </c>
      <c r="I646" s="4">
        <v>18.65763389</v>
      </c>
      <c r="J646" s="4">
        <v>51.647859740000001</v>
      </c>
      <c r="K646" s="5">
        <v>30.57894722</v>
      </c>
      <c r="L646" s="3">
        <v>5</v>
      </c>
      <c r="M646" s="2" t="s">
        <v>764</v>
      </c>
      <c r="N646" s="2" t="s">
        <v>21</v>
      </c>
      <c r="O646" s="4">
        <v>13.672476363452033</v>
      </c>
      <c r="P646" s="2" t="str">
        <f t="shared" si="10"/>
        <v>Superior</v>
      </c>
    </row>
    <row r="647" spans="1:16" ht="20.100000000000001" customHeight="1" x14ac:dyDescent="0.3">
      <c r="A647" s="2" t="s">
        <v>491</v>
      </c>
      <c r="B647" s="2" t="s">
        <v>768</v>
      </c>
      <c r="C647" s="3">
        <v>85</v>
      </c>
      <c r="D647" s="2" t="s">
        <v>760</v>
      </c>
      <c r="E647" s="4">
        <v>72.958181049999993</v>
      </c>
      <c r="F647" s="4">
        <v>2.9178266850000001</v>
      </c>
      <c r="G647" s="4">
        <v>29.990454830000001</v>
      </c>
      <c r="H647" s="2" t="s">
        <v>24</v>
      </c>
      <c r="I647" s="4">
        <v>40.212076070000002</v>
      </c>
      <c r="J647" s="4">
        <v>62.269598000000002</v>
      </c>
      <c r="K647" s="5">
        <v>12.98738853</v>
      </c>
      <c r="L647" s="3">
        <v>3</v>
      </c>
      <c r="M647" s="2" t="s">
        <v>762</v>
      </c>
      <c r="N647" s="2" t="s">
        <v>21</v>
      </c>
      <c r="O647" s="4">
        <v>13.678851767107925</v>
      </c>
      <c r="P647" s="2" t="str">
        <f t="shared" si="10"/>
        <v>Superior</v>
      </c>
    </row>
    <row r="648" spans="1:16" ht="20.100000000000001" customHeight="1" x14ac:dyDescent="0.3">
      <c r="A648" s="2" t="s">
        <v>492</v>
      </c>
      <c r="B648" s="2" t="s">
        <v>768</v>
      </c>
      <c r="C648" s="3">
        <v>62</v>
      </c>
      <c r="D648" s="2" t="s">
        <v>761</v>
      </c>
      <c r="E648" s="4">
        <v>56.520376679999998</v>
      </c>
      <c r="F648" s="4">
        <v>2.296980268</v>
      </c>
      <c r="G648" s="4">
        <v>12.8885881</v>
      </c>
      <c r="H648" s="2" t="s">
        <v>24</v>
      </c>
      <c r="I648" s="4">
        <v>31.167956329999999</v>
      </c>
      <c r="J648" s="4">
        <v>68.264363009999997</v>
      </c>
      <c r="K648" s="5">
        <v>19.10315318</v>
      </c>
      <c r="L648" s="3">
        <v>1</v>
      </c>
      <c r="M648" s="2" t="s">
        <v>764</v>
      </c>
      <c r="N648" s="2" t="s">
        <v>18</v>
      </c>
      <c r="O648" s="4">
        <v>12.999557849974023</v>
      </c>
      <c r="P648" s="2" t="str">
        <f t="shared" si="10"/>
        <v>Superior</v>
      </c>
    </row>
    <row r="649" spans="1:16" ht="20.100000000000001" customHeight="1" x14ac:dyDescent="0.3">
      <c r="A649" s="2" t="s">
        <v>493</v>
      </c>
      <c r="B649" s="2" t="s">
        <v>22</v>
      </c>
      <c r="C649" s="3">
        <v>26.136510250000001</v>
      </c>
      <c r="D649" s="2" t="s">
        <v>761</v>
      </c>
      <c r="E649" s="4">
        <v>28.78049141</v>
      </c>
      <c r="F649" s="4">
        <v>0.77131198400000001</v>
      </c>
      <c r="G649" s="4">
        <v>7.4467686339999997</v>
      </c>
      <c r="H649" s="2" t="s">
        <v>14</v>
      </c>
      <c r="I649" s="4">
        <v>27.239475599999999</v>
      </c>
      <c r="J649" s="4">
        <v>94.997443709999999</v>
      </c>
      <c r="K649" s="5">
        <v>5.2912608729999997</v>
      </c>
      <c r="L649" s="3">
        <v>7</v>
      </c>
      <c r="M649" s="2" t="s">
        <v>764</v>
      </c>
      <c r="N649" s="2" t="s">
        <v>21</v>
      </c>
      <c r="O649" s="4">
        <v>5.0969007776488562</v>
      </c>
      <c r="P649" s="2" t="str">
        <f t="shared" si="10"/>
        <v>Acceptable</v>
      </c>
    </row>
    <row r="650" spans="1:16" ht="20.100000000000001" customHeight="1" x14ac:dyDescent="0.3">
      <c r="A650" s="2" t="s">
        <v>494</v>
      </c>
      <c r="B650" s="2" t="s">
        <v>771</v>
      </c>
      <c r="C650" s="3">
        <v>62</v>
      </c>
      <c r="D650" s="2" t="s">
        <v>757</v>
      </c>
      <c r="E650" s="4">
        <v>51.085392669999997</v>
      </c>
      <c r="F650" s="4">
        <v>0.94975610300000002</v>
      </c>
      <c r="G650" s="4">
        <v>25.83848785</v>
      </c>
      <c r="H650" s="2" t="s">
        <v>17</v>
      </c>
      <c r="I650" s="4">
        <v>44.701872129999998</v>
      </c>
      <c r="J650" s="4">
        <v>82.628539099999998</v>
      </c>
      <c r="K650" s="5">
        <v>16.953094520000001</v>
      </c>
      <c r="L650" s="3">
        <v>0</v>
      </c>
      <c r="M650" s="2" t="s">
        <v>764</v>
      </c>
      <c r="N650" s="2" t="s">
        <v>21</v>
      </c>
      <c r="O650" s="4">
        <v>12.012491783925968</v>
      </c>
      <c r="P650" s="2" t="str">
        <f t="shared" si="10"/>
        <v>Superior</v>
      </c>
    </row>
    <row r="651" spans="1:16" ht="20.100000000000001" customHeight="1" x14ac:dyDescent="0.3">
      <c r="A651" s="2" t="s">
        <v>495</v>
      </c>
      <c r="B651" s="2" t="s">
        <v>769</v>
      </c>
      <c r="C651" s="3">
        <v>62</v>
      </c>
      <c r="D651" s="2" t="s">
        <v>758</v>
      </c>
      <c r="E651" s="4">
        <v>77.45420996</v>
      </c>
      <c r="F651" s="4">
        <v>3.3082619279999999</v>
      </c>
      <c r="G651" s="4">
        <v>29.413406689999999</v>
      </c>
      <c r="H651" s="2" t="s">
        <v>24</v>
      </c>
      <c r="I651" s="4">
        <v>80.652551090000003</v>
      </c>
      <c r="J651" s="4">
        <v>90.08739344</v>
      </c>
      <c r="K651" s="5">
        <v>2.2490551700000001</v>
      </c>
      <c r="L651" s="3">
        <v>4</v>
      </c>
      <c r="M651" s="2" t="s">
        <v>762</v>
      </c>
      <c r="N651" s="2" t="s">
        <v>21</v>
      </c>
      <c r="O651" s="4">
        <v>4.5307632139616771</v>
      </c>
      <c r="P651" s="2" t="str">
        <f t="shared" si="10"/>
        <v>Acceptable</v>
      </c>
    </row>
    <row r="652" spans="1:16" ht="20.100000000000001" customHeight="1" x14ac:dyDescent="0.3">
      <c r="A652" s="2" t="s">
        <v>496</v>
      </c>
      <c r="B652" s="2" t="s">
        <v>771</v>
      </c>
      <c r="C652" s="3">
        <v>62</v>
      </c>
      <c r="D652" s="2" t="s">
        <v>759</v>
      </c>
      <c r="E652" s="4">
        <v>68.21934426</v>
      </c>
      <c r="F652" s="4">
        <v>0.88645038099999995</v>
      </c>
      <c r="G652" s="4">
        <v>14.88435406</v>
      </c>
      <c r="H652" s="2" t="s">
        <v>14</v>
      </c>
      <c r="I652" s="4">
        <v>38.038902710000002</v>
      </c>
      <c r="J652" s="4">
        <v>62.463097859999998</v>
      </c>
      <c r="K652" s="5">
        <v>1.8150805160000001</v>
      </c>
      <c r="L652" s="3">
        <v>4</v>
      </c>
      <c r="M652" s="2" t="s">
        <v>762</v>
      </c>
      <c r="N652" s="2" t="s">
        <v>18</v>
      </c>
      <c r="O652" s="4">
        <v>10.330455978709885</v>
      </c>
      <c r="P652" s="2" t="str">
        <f t="shared" si="10"/>
        <v>Superior</v>
      </c>
    </row>
    <row r="653" spans="1:16" ht="20.100000000000001" customHeight="1" x14ac:dyDescent="0.3">
      <c r="A653" s="2" t="s">
        <v>497</v>
      </c>
      <c r="B653" s="2" t="s">
        <v>770</v>
      </c>
      <c r="C653" s="3">
        <v>88.869224070000001</v>
      </c>
      <c r="D653" s="2" t="s">
        <v>758</v>
      </c>
      <c r="E653" s="4">
        <v>20.17078858</v>
      </c>
      <c r="F653" s="4">
        <v>2.4504515659999999</v>
      </c>
      <c r="G653" s="4">
        <v>40.420781959999999</v>
      </c>
      <c r="H653" s="2" t="s">
        <v>17</v>
      </c>
      <c r="I653" s="4">
        <v>31.556926300000001</v>
      </c>
      <c r="J653" s="4">
        <v>97.827931950000007</v>
      </c>
      <c r="K653" s="5">
        <v>2.8441329180000001</v>
      </c>
      <c r="L653" s="3">
        <v>2</v>
      </c>
      <c r="M653" s="2" t="s">
        <v>764</v>
      </c>
      <c r="N653" s="2" t="s">
        <v>15</v>
      </c>
      <c r="O653" s="4">
        <v>11.879490829838774</v>
      </c>
      <c r="P653" s="2" t="str">
        <f t="shared" si="10"/>
        <v>Superior</v>
      </c>
    </row>
    <row r="654" spans="1:16" ht="20.100000000000001" customHeight="1" x14ac:dyDescent="0.3">
      <c r="A654" s="2" t="s">
        <v>498</v>
      </c>
      <c r="B654" s="2" t="s">
        <v>22</v>
      </c>
      <c r="C654" s="3">
        <v>85</v>
      </c>
      <c r="D654" s="2" t="s">
        <v>757</v>
      </c>
      <c r="E654" s="4">
        <v>76.953489079999997</v>
      </c>
      <c r="F654" s="4">
        <v>3.4432371310000001</v>
      </c>
      <c r="G654" s="4">
        <v>36.810730040000003</v>
      </c>
      <c r="H654" s="2" t="s">
        <v>14</v>
      </c>
      <c r="I654" s="4">
        <v>66.791983819999999</v>
      </c>
      <c r="J654" s="4">
        <v>76.504106710000002</v>
      </c>
      <c r="K654" s="5">
        <v>9.2623270340000001</v>
      </c>
      <c r="L654" s="3">
        <v>7</v>
      </c>
      <c r="M654" s="2" t="s">
        <v>762</v>
      </c>
      <c r="N654" s="2" t="s">
        <v>15</v>
      </c>
      <c r="O654" s="4">
        <v>6.3527448134534827</v>
      </c>
      <c r="P654" s="2" t="str">
        <f t="shared" si="10"/>
        <v>Acceptable</v>
      </c>
    </row>
    <row r="655" spans="1:16" ht="20.100000000000001" customHeight="1" x14ac:dyDescent="0.3">
      <c r="A655" s="2" t="s">
        <v>499</v>
      </c>
      <c r="B655" s="2" t="s">
        <v>22</v>
      </c>
      <c r="C655" s="3">
        <v>85</v>
      </c>
      <c r="D655" s="2" t="s">
        <v>760</v>
      </c>
      <c r="E655" s="4">
        <v>47.630411819999999</v>
      </c>
      <c r="F655" s="4">
        <v>1.54969567</v>
      </c>
      <c r="G655" s="4">
        <v>26.012469410000001</v>
      </c>
      <c r="H655" s="2" t="s">
        <v>14</v>
      </c>
      <c r="I655" s="4">
        <v>18.16488828</v>
      </c>
      <c r="J655" s="4">
        <v>114.52564719999999</v>
      </c>
      <c r="K655" s="5">
        <v>24.218407580000001</v>
      </c>
      <c r="L655" s="3">
        <v>3</v>
      </c>
      <c r="M655" s="2" t="s">
        <v>763</v>
      </c>
      <c r="N655" s="2" t="s">
        <v>15</v>
      </c>
      <c r="O655" s="4">
        <v>39.012472360502372</v>
      </c>
      <c r="P655" s="2" t="str">
        <f t="shared" si="10"/>
        <v>Outstanding</v>
      </c>
    </row>
    <row r="656" spans="1:16" ht="20.100000000000001" customHeight="1" x14ac:dyDescent="0.3">
      <c r="A656" s="2" t="s">
        <v>500</v>
      </c>
      <c r="B656" s="2" t="s">
        <v>768</v>
      </c>
      <c r="C656" s="3">
        <v>100</v>
      </c>
      <c r="D656" s="2" t="s">
        <v>761</v>
      </c>
      <c r="E656" s="4">
        <v>51.737131529999999</v>
      </c>
      <c r="F656" s="4">
        <v>1.3552853</v>
      </c>
      <c r="G656" s="4">
        <v>26.691946659999999</v>
      </c>
      <c r="H656" s="2" t="s">
        <v>14</v>
      </c>
      <c r="I656" s="4">
        <v>42.492679189999997</v>
      </c>
      <c r="J656" s="4">
        <v>93.299046450000006</v>
      </c>
      <c r="K656" s="5">
        <v>15.61240154</v>
      </c>
      <c r="L656" s="3">
        <v>3</v>
      </c>
      <c r="M656" s="2" t="s">
        <v>764</v>
      </c>
      <c r="N656" s="2" t="s">
        <v>18</v>
      </c>
      <c r="O656" s="4">
        <v>26.28575705492106</v>
      </c>
      <c r="P656" s="2" t="str">
        <f t="shared" si="10"/>
        <v>Outstanding</v>
      </c>
    </row>
    <row r="657" spans="1:16" ht="20.100000000000001" customHeight="1" x14ac:dyDescent="0.3">
      <c r="A657" s="2" t="s">
        <v>501</v>
      </c>
      <c r="B657" s="2" t="s">
        <v>22</v>
      </c>
      <c r="C657" s="3">
        <v>75</v>
      </c>
      <c r="D657" s="2" t="s">
        <v>761</v>
      </c>
      <c r="E657" s="4">
        <v>41.88651471</v>
      </c>
      <c r="F657" s="4">
        <v>3.7411159409999999</v>
      </c>
      <c r="G657" s="4">
        <v>23.022124689999998</v>
      </c>
      <c r="H657" s="2" t="s">
        <v>17</v>
      </c>
      <c r="I657" s="4">
        <v>59.315211400000003</v>
      </c>
      <c r="J657" s="4">
        <v>94.753055189999998</v>
      </c>
      <c r="K657" s="5">
        <v>7.8090769580000003</v>
      </c>
      <c r="L657" s="3">
        <v>3</v>
      </c>
      <c r="M657" s="2" t="s">
        <v>763</v>
      </c>
      <c r="N657" s="2" t="s">
        <v>18</v>
      </c>
      <c r="O657" s="4">
        <v>11.132758239003879</v>
      </c>
      <c r="P657" s="2" t="str">
        <f t="shared" si="10"/>
        <v>Superior</v>
      </c>
    </row>
    <row r="658" spans="1:16" ht="20.100000000000001" customHeight="1" x14ac:dyDescent="0.3">
      <c r="A658" s="2" t="s">
        <v>502</v>
      </c>
      <c r="B658" s="2" t="s">
        <v>769</v>
      </c>
      <c r="C658" s="3">
        <v>85</v>
      </c>
      <c r="D658" s="2" t="s">
        <v>759</v>
      </c>
      <c r="E658" s="4">
        <v>71.955690720000007</v>
      </c>
      <c r="F658" s="4">
        <v>1.6557431789999999</v>
      </c>
      <c r="G658" s="4">
        <v>39.215785429999997</v>
      </c>
      <c r="H658" s="2" t="s">
        <v>28</v>
      </c>
      <c r="I658" s="4">
        <v>30.70091781</v>
      </c>
      <c r="J658" s="4">
        <v>98.237294570000003</v>
      </c>
      <c r="K658" s="5">
        <v>12.970249709999999</v>
      </c>
      <c r="L658" s="3">
        <v>7</v>
      </c>
      <c r="M658" s="2" t="s">
        <v>763</v>
      </c>
      <c r="N658" s="2" t="s">
        <v>21</v>
      </c>
      <c r="O658" s="4">
        <v>41.306826427181619</v>
      </c>
      <c r="P658" s="2" t="str">
        <f t="shared" si="10"/>
        <v>Outstanding</v>
      </c>
    </row>
    <row r="659" spans="1:16" ht="20.100000000000001" customHeight="1" x14ac:dyDescent="0.3">
      <c r="A659" s="2" t="s">
        <v>503</v>
      </c>
      <c r="B659" s="2" t="s">
        <v>22</v>
      </c>
      <c r="C659" s="3">
        <v>100</v>
      </c>
      <c r="D659" s="2" t="s">
        <v>758</v>
      </c>
      <c r="E659" s="4">
        <v>39.932764659999997</v>
      </c>
      <c r="F659" s="4">
        <v>2.705918848</v>
      </c>
      <c r="G659" s="4">
        <v>49.116609269999998</v>
      </c>
      <c r="H659" s="2" t="s">
        <v>17</v>
      </c>
      <c r="I659" s="4">
        <v>43.608242509999997</v>
      </c>
      <c r="J659" s="4">
        <v>54.320168019999997</v>
      </c>
      <c r="K659" s="5">
        <v>8.663582495</v>
      </c>
      <c r="L659" s="3">
        <v>5</v>
      </c>
      <c r="M659" s="2" t="s">
        <v>764</v>
      </c>
      <c r="N659" s="2" t="s">
        <v>15</v>
      </c>
      <c r="O659" s="4">
        <v>4.2775680044628048</v>
      </c>
      <c r="P659" s="2" t="str">
        <f t="shared" si="10"/>
        <v>Acceptable</v>
      </c>
    </row>
    <row r="660" spans="1:16" ht="20.100000000000001" customHeight="1" x14ac:dyDescent="0.3">
      <c r="A660" s="2" t="s">
        <v>504</v>
      </c>
      <c r="B660" s="2" t="s">
        <v>768</v>
      </c>
      <c r="C660" s="3">
        <v>85</v>
      </c>
      <c r="D660" s="2" t="s">
        <v>759</v>
      </c>
      <c r="E660" s="4">
        <v>30.576281980000001</v>
      </c>
      <c r="F660" s="4">
        <v>1.0137325260000001</v>
      </c>
      <c r="G660" s="4">
        <v>49.461382360000002</v>
      </c>
      <c r="H660" s="2" t="s">
        <v>14</v>
      </c>
      <c r="I660" s="4">
        <v>12.86588701</v>
      </c>
      <c r="J660" s="4">
        <v>85.478005249999995</v>
      </c>
      <c r="K660" s="5">
        <v>19.092544199999999</v>
      </c>
      <c r="L660" s="3">
        <v>6</v>
      </c>
      <c r="M660" s="2" t="s">
        <v>764</v>
      </c>
      <c r="N660" s="2" t="s">
        <v>18</v>
      </c>
      <c r="O660" s="4">
        <v>18.871773121006402</v>
      </c>
      <c r="P660" s="2" t="str">
        <f t="shared" si="10"/>
        <v>Superior</v>
      </c>
    </row>
    <row r="661" spans="1:16" ht="20.100000000000001" customHeight="1" x14ac:dyDescent="0.3">
      <c r="A661" s="2" t="s">
        <v>505</v>
      </c>
      <c r="B661" s="2" t="s">
        <v>770</v>
      </c>
      <c r="C661" s="3">
        <v>62</v>
      </c>
      <c r="D661" s="2" t="s">
        <v>757</v>
      </c>
      <c r="E661" s="4">
        <v>60.718153999999998</v>
      </c>
      <c r="F661" s="4">
        <v>2.1941605659999999</v>
      </c>
      <c r="G661" s="4">
        <v>18.494906749999998</v>
      </c>
      <c r="H661" s="2" t="s">
        <v>28</v>
      </c>
      <c r="I661" s="4">
        <v>35.267181100000002</v>
      </c>
      <c r="J661" s="4">
        <v>59.633732780000003</v>
      </c>
      <c r="K661" s="5">
        <v>2.3943156989999999</v>
      </c>
      <c r="L661" s="3">
        <v>0</v>
      </c>
      <c r="M661" s="2" t="s">
        <v>763</v>
      </c>
      <c r="N661" s="2" t="s">
        <v>18</v>
      </c>
      <c r="O661" s="4">
        <v>9.1728506316022322</v>
      </c>
      <c r="P661" s="2" t="str">
        <f t="shared" si="10"/>
        <v>Acceptable</v>
      </c>
    </row>
    <row r="662" spans="1:16" ht="20.100000000000001" customHeight="1" x14ac:dyDescent="0.3">
      <c r="A662" s="2" t="s">
        <v>25</v>
      </c>
      <c r="B662" s="2" t="s">
        <v>771</v>
      </c>
      <c r="C662" s="3">
        <v>62</v>
      </c>
      <c r="D662" s="2" t="s">
        <v>759</v>
      </c>
      <c r="E662" s="4">
        <v>43.592372279999999</v>
      </c>
      <c r="F662" s="4">
        <v>1.724203599</v>
      </c>
      <c r="G662" s="4">
        <v>14.29492293</v>
      </c>
      <c r="H662" s="2" t="s">
        <v>14</v>
      </c>
      <c r="I662" s="4">
        <v>33.466200260000001</v>
      </c>
      <c r="J662" s="4">
        <v>92.961420899999993</v>
      </c>
      <c r="K662" s="5">
        <v>22.516706429999999</v>
      </c>
      <c r="L662" s="3">
        <v>4</v>
      </c>
      <c r="M662" s="2" t="s">
        <v>762</v>
      </c>
      <c r="N662" s="2" t="s">
        <v>15</v>
      </c>
      <c r="O662" s="4">
        <v>16.079934403521641</v>
      </c>
      <c r="P662" s="2" t="str">
        <f t="shared" si="10"/>
        <v>Superior</v>
      </c>
    </row>
    <row r="663" spans="1:16" ht="20.100000000000001" customHeight="1" x14ac:dyDescent="0.3">
      <c r="A663" s="2" t="s">
        <v>69</v>
      </c>
      <c r="B663" s="2" t="s">
        <v>771</v>
      </c>
      <c r="C663" s="3">
        <v>75</v>
      </c>
      <c r="D663" s="2" t="s">
        <v>761</v>
      </c>
      <c r="E663" s="4">
        <v>27.84315247</v>
      </c>
      <c r="F663" s="4">
        <v>2.5431396610000001</v>
      </c>
      <c r="G663" s="4">
        <v>17.004643850000001</v>
      </c>
      <c r="H663" s="2" t="s">
        <v>28</v>
      </c>
      <c r="I663" s="4">
        <v>47.992183349999998</v>
      </c>
      <c r="J663" s="4">
        <v>85.865186890000004</v>
      </c>
      <c r="K663" s="5">
        <v>7.5168616530000003</v>
      </c>
      <c r="L663" s="3">
        <v>7</v>
      </c>
      <c r="M663" s="2" t="s">
        <v>763</v>
      </c>
      <c r="N663" s="2" t="s">
        <v>18</v>
      </c>
      <c r="O663" s="4">
        <v>7.9087785904580237</v>
      </c>
      <c r="P663" s="2" t="str">
        <f t="shared" si="10"/>
        <v>Acceptable</v>
      </c>
    </row>
    <row r="664" spans="1:16" ht="20.100000000000001" customHeight="1" x14ac:dyDescent="0.3">
      <c r="A664" s="2" t="s">
        <v>506</v>
      </c>
      <c r="B664" s="2" t="s">
        <v>770</v>
      </c>
      <c r="C664" s="3">
        <v>85</v>
      </c>
      <c r="D664" s="2" t="s">
        <v>757</v>
      </c>
      <c r="E664" s="4">
        <v>50.922568390000002</v>
      </c>
      <c r="F664" s="4">
        <v>2.7450650699999999</v>
      </c>
      <c r="G664" s="4">
        <v>43.409301509999999</v>
      </c>
      <c r="H664" s="2" t="s">
        <v>28</v>
      </c>
      <c r="I664" s="4">
        <v>15.914269190000001</v>
      </c>
      <c r="J664" s="4">
        <v>82.344795840000003</v>
      </c>
      <c r="K664" s="5">
        <v>12.4626365</v>
      </c>
      <c r="L664" s="3">
        <v>4</v>
      </c>
      <c r="M664" s="2" t="s">
        <v>764</v>
      </c>
      <c r="N664" s="2" t="s">
        <v>15</v>
      </c>
      <c r="O664" s="4">
        <v>28.753910810405912</v>
      </c>
      <c r="P664" s="2" t="str">
        <f t="shared" si="10"/>
        <v>Outstanding</v>
      </c>
    </row>
    <row r="665" spans="1:16" ht="20.100000000000001" customHeight="1" x14ac:dyDescent="0.3">
      <c r="A665" s="2" t="s">
        <v>507</v>
      </c>
      <c r="B665" s="2" t="s">
        <v>769</v>
      </c>
      <c r="C665" s="3">
        <v>100</v>
      </c>
      <c r="D665" s="2" t="s">
        <v>757</v>
      </c>
      <c r="E665" s="4">
        <v>58.924435649999999</v>
      </c>
      <c r="F665" s="4">
        <v>2.2011577610000002</v>
      </c>
      <c r="G665" s="4">
        <v>33.52721537</v>
      </c>
      <c r="H665" s="2" t="s">
        <v>17</v>
      </c>
      <c r="I665" s="4">
        <v>40.211470929999997</v>
      </c>
      <c r="J665" s="4">
        <v>58.327422489999996</v>
      </c>
      <c r="K665" s="5">
        <v>4.8374120720000002</v>
      </c>
      <c r="L665" s="3">
        <v>2</v>
      </c>
      <c r="M665" s="2" t="s">
        <v>763</v>
      </c>
      <c r="N665" s="2" t="s">
        <v>15</v>
      </c>
      <c r="O665" s="4">
        <v>10.674722219357371</v>
      </c>
      <c r="P665" s="2" t="str">
        <f t="shared" si="10"/>
        <v>Superior</v>
      </c>
    </row>
    <row r="666" spans="1:16" ht="20.100000000000001" customHeight="1" x14ac:dyDescent="0.3">
      <c r="A666" s="2" t="s">
        <v>508</v>
      </c>
      <c r="B666" s="2" t="s">
        <v>22</v>
      </c>
      <c r="C666" s="3">
        <v>50</v>
      </c>
      <c r="D666" s="2" t="s">
        <v>761</v>
      </c>
      <c r="E666" s="4">
        <v>31.10226145</v>
      </c>
      <c r="F666" s="4">
        <v>0.99384228799999996</v>
      </c>
      <c r="G666" s="4">
        <v>40.14362963</v>
      </c>
      <c r="H666" s="2" t="s">
        <v>14</v>
      </c>
      <c r="I666" s="4">
        <v>55.591763129999997</v>
      </c>
      <c r="J666" s="4">
        <v>99.505139709999995</v>
      </c>
      <c r="K666" s="5">
        <v>13.78180987</v>
      </c>
      <c r="L666" s="3">
        <v>0</v>
      </c>
      <c r="M666" s="2" t="s">
        <v>764</v>
      </c>
      <c r="N666" s="2" t="s">
        <v>21</v>
      </c>
      <c r="O666" s="4">
        <v>6.8290265977173341</v>
      </c>
      <c r="P666" s="2" t="str">
        <f t="shared" si="10"/>
        <v>Acceptable</v>
      </c>
    </row>
    <row r="667" spans="1:16" ht="20.100000000000001" customHeight="1" x14ac:dyDescent="0.3">
      <c r="A667" s="2" t="s">
        <v>509</v>
      </c>
      <c r="B667" s="2" t="s">
        <v>771</v>
      </c>
      <c r="C667" s="3">
        <v>75</v>
      </c>
      <c r="D667" s="2" t="s">
        <v>761</v>
      </c>
      <c r="E667" s="4">
        <v>27.69441145</v>
      </c>
      <c r="F667" s="4">
        <v>1.402180604</v>
      </c>
      <c r="G667" s="4">
        <v>47.326246740000002</v>
      </c>
      <c r="H667" s="2" t="s">
        <v>17</v>
      </c>
      <c r="I667" s="4">
        <v>27.043739739999999</v>
      </c>
      <c r="J667" s="4">
        <v>65.830296279999999</v>
      </c>
      <c r="K667" s="5">
        <v>19.265184430000001</v>
      </c>
      <c r="L667" s="3">
        <v>6</v>
      </c>
      <c r="M667" s="2" t="s">
        <v>763</v>
      </c>
      <c r="N667" s="2" t="s">
        <v>18</v>
      </c>
      <c r="O667" s="4">
        <v>8.0562814166058629</v>
      </c>
      <c r="P667" s="2" t="str">
        <f t="shared" si="10"/>
        <v>Acceptable</v>
      </c>
    </row>
    <row r="668" spans="1:16" ht="20.100000000000001" customHeight="1" x14ac:dyDescent="0.3">
      <c r="A668" s="2" t="s">
        <v>510</v>
      </c>
      <c r="B668" s="2" t="s">
        <v>770</v>
      </c>
      <c r="C668" s="3">
        <v>100</v>
      </c>
      <c r="D668" s="2" t="s">
        <v>757</v>
      </c>
      <c r="E668" s="4">
        <v>50.51448559</v>
      </c>
      <c r="F668" s="4">
        <v>2.2287292590000001</v>
      </c>
      <c r="G668" s="4">
        <v>19.086494739999999</v>
      </c>
      <c r="H668" s="2" t="s">
        <v>28</v>
      </c>
      <c r="I668" s="4">
        <v>12.87037454</v>
      </c>
      <c r="J668" s="4">
        <v>50.66155354</v>
      </c>
      <c r="K668" s="5">
        <v>29.292791810000001</v>
      </c>
      <c r="L668" s="3">
        <v>2</v>
      </c>
      <c r="M668" s="2" t="s">
        <v>762</v>
      </c>
      <c r="N668" s="2" t="s">
        <v>15</v>
      </c>
      <c r="O668" s="4">
        <v>19.090019670246107</v>
      </c>
      <c r="P668" s="2" t="str">
        <f t="shared" si="10"/>
        <v>Superior</v>
      </c>
    </row>
    <row r="669" spans="1:16" ht="20.100000000000001" customHeight="1" x14ac:dyDescent="0.3">
      <c r="A669" s="2" t="s">
        <v>70</v>
      </c>
      <c r="B669" s="2" t="s">
        <v>771</v>
      </c>
      <c r="C669" s="3">
        <v>50</v>
      </c>
      <c r="D669" s="2" t="s">
        <v>761</v>
      </c>
      <c r="E669" s="4">
        <v>28.440773920000002</v>
      </c>
      <c r="F669" s="4">
        <v>1.079658655</v>
      </c>
      <c r="G669" s="4">
        <v>42.425126830000004</v>
      </c>
      <c r="H669" s="2" t="s">
        <v>28</v>
      </c>
      <c r="I669" s="4">
        <v>13.6672408</v>
      </c>
      <c r="J669" s="4">
        <v>96.346034619999998</v>
      </c>
      <c r="K669" s="5">
        <v>27.813135549999998</v>
      </c>
      <c r="L669" s="3">
        <v>0</v>
      </c>
      <c r="M669" s="2" t="s">
        <v>763</v>
      </c>
      <c r="N669" s="2" t="s">
        <v>21</v>
      </c>
      <c r="O669" s="4">
        <v>11.757244415064566</v>
      </c>
      <c r="P669" s="2" t="str">
        <f t="shared" si="10"/>
        <v>Superior</v>
      </c>
    </row>
    <row r="670" spans="1:16" ht="20.100000000000001" customHeight="1" x14ac:dyDescent="0.3">
      <c r="A670" s="2" t="s">
        <v>511</v>
      </c>
      <c r="B670" s="2" t="s">
        <v>771</v>
      </c>
      <c r="C670" s="3">
        <v>58.335159820000001</v>
      </c>
      <c r="D670" s="2" t="s">
        <v>757</v>
      </c>
      <c r="E670" s="4">
        <v>39.686765780000002</v>
      </c>
      <c r="F670" s="4">
        <v>1.4029154029999999</v>
      </c>
      <c r="G670" s="4">
        <v>4.3193301269999997</v>
      </c>
      <c r="H670" s="2" t="s">
        <v>14</v>
      </c>
      <c r="I670" s="4">
        <v>37.05047751</v>
      </c>
      <c r="J670" s="4">
        <v>86.273884460000005</v>
      </c>
      <c r="K670" s="5">
        <v>4.3384480280000002</v>
      </c>
      <c r="L670" s="3">
        <v>6</v>
      </c>
      <c r="M670" s="2" t="s">
        <v>762</v>
      </c>
      <c r="N670" s="2" t="s">
        <v>18</v>
      </c>
      <c r="O670" s="4">
        <v>11.395877438782193</v>
      </c>
      <c r="P670" s="2" t="str">
        <f t="shared" si="10"/>
        <v>Superior</v>
      </c>
    </row>
    <row r="671" spans="1:16" ht="20.100000000000001" customHeight="1" x14ac:dyDescent="0.3">
      <c r="A671" s="2" t="s">
        <v>512</v>
      </c>
      <c r="B671" s="2" t="s">
        <v>771</v>
      </c>
      <c r="C671" s="3">
        <v>50</v>
      </c>
      <c r="D671" s="2" t="s">
        <v>761</v>
      </c>
      <c r="E671" s="4">
        <v>6.8180194270000003</v>
      </c>
      <c r="F671" s="4">
        <v>3.0616646969999999</v>
      </c>
      <c r="G671" s="4">
        <v>17.69489402</v>
      </c>
      <c r="H671" s="2" t="s">
        <v>17</v>
      </c>
      <c r="I671" s="4">
        <v>21.3897795</v>
      </c>
      <c r="J671" s="4">
        <v>50.855729289999999</v>
      </c>
      <c r="K671" s="5">
        <v>37.4872674</v>
      </c>
      <c r="L671" s="3">
        <v>3</v>
      </c>
      <c r="M671" s="2" t="s">
        <v>763</v>
      </c>
      <c r="N671" s="2" t="s">
        <v>21</v>
      </c>
      <c r="O671" s="4">
        <v>1.0044970905161328</v>
      </c>
      <c r="P671" s="2" t="str">
        <f t="shared" si="10"/>
        <v>Low</v>
      </c>
    </row>
    <row r="672" spans="1:16" ht="20.100000000000001" customHeight="1" x14ac:dyDescent="0.3">
      <c r="A672" s="2" t="s">
        <v>513</v>
      </c>
      <c r="B672" s="2" t="s">
        <v>770</v>
      </c>
      <c r="C672" s="3">
        <v>50</v>
      </c>
      <c r="D672" s="2" t="s">
        <v>759</v>
      </c>
      <c r="E672" s="4">
        <v>55.171528260000002</v>
      </c>
      <c r="F672" s="4">
        <v>2.2857938949999999</v>
      </c>
      <c r="G672" s="4">
        <v>8.4033617019999998</v>
      </c>
      <c r="H672" s="2" t="s">
        <v>14</v>
      </c>
      <c r="I672" s="4">
        <v>40.124826519999999</v>
      </c>
      <c r="J672" s="4">
        <v>67.161387640000001</v>
      </c>
      <c r="K672" s="5">
        <v>34.586043789999998</v>
      </c>
      <c r="L672" s="3">
        <v>7</v>
      </c>
      <c r="M672" s="2" t="s">
        <v>762</v>
      </c>
      <c r="N672" s="2" t="s">
        <v>15</v>
      </c>
      <c r="O672" s="4">
        <v>7.4582419794264867</v>
      </c>
      <c r="P672" s="2" t="str">
        <f t="shared" si="10"/>
        <v>Acceptable</v>
      </c>
    </row>
    <row r="673" spans="1:16" ht="20.100000000000001" customHeight="1" x14ac:dyDescent="0.3">
      <c r="A673" s="2" t="s">
        <v>514</v>
      </c>
      <c r="B673" s="2" t="s">
        <v>768</v>
      </c>
      <c r="C673" s="3">
        <v>101.02319919999999</v>
      </c>
      <c r="D673" s="2" t="s">
        <v>759</v>
      </c>
      <c r="E673" s="4">
        <v>152.23875799999999</v>
      </c>
      <c r="F673" s="4">
        <v>0.71029805000000001</v>
      </c>
      <c r="G673" s="4">
        <v>36.092286260000002</v>
      </c>
      <c r="H673" s="2" t="s">
        <v>28</v>
      </c>
      <c r="I673" s="4">
        <v>13.795797990000001</v>
      </c>
      <c r="J673" s="4">
        <v>58.932099530000002</v>
      </c>
      <c r="K673" s="5">
        <v>39.54195636</v>
      </c>
      <c r="L673" s="3">
        <v>5</v>
      </c>
      <c r="M673" s="2" t="s">
        <v>764</v>
      </c>
      <c r="N673" s="2" t="s">
        <v>15</v>
      </c>
      <c r="O673" s="4">
        <v>69.418035637837832</v>
      </c>
      <c r="P673" s="2" t="str">
        <f t="shared" si="10"/>
        <v>Outstanding</v>
      </c>
    </row>
    <row r="674" spans="1:16" ht="20.100000000000001" customHeight="1" x14ac:dyDescent="0.3">
      <c r="A674" s="2" t="s">
        <v>515</v>
      </c>
      <c r="B674" s="2" t="s">
        <v>771</v>
      </c>
      <c r="C674" s="3">
        <v>76.336590549999997</v>
      </c>
      <c r="D674" s="2" t="s">
        <v>759</v>
      </c>
      <c r="E674" s="4">
        <v>16.376371079999998</v>
      </c>
      <c r="F674" s="4">
        <v>0.86398449600000005</v>
      </c>
      <c r="G674" s="4">
        <v>33.300565550000002</v>
      </c>
      <c r="H674" s="2" t="s">
        <v>28</v>
      </c>
      <c r="I674" s="4">
        <v>70.551750170000005</v>
      </c>
      <c r="J674" s="4">
        <v>76.775387769999995</v>
      </c>
      <c r="K674" s="5">
        <v>3.3249448350000002</v>
      </c>
      <c r="L674" s="3">
        <v>0.35565278700000003</v>
      </c>
      <c r="M674" s="2" t="s">
        <v>762</v>
      </c>
      <c r="N674" s="2" t="s">
        <v>15</v>
      </c>
      <c r="O674" s="4">
        <v>0.77802710195911895</v>
      </c>
      <c r="P674" s="2" t="str">
        <f t="shared" si="10"/>
        <v>Low</v>
      </c>
    </row>
    <row r="675" spans="1:16" ht="20.100000000000001" customHeight="1" x14ac:dyDescent="0.3">
      <c r="A675" s="2" t="s">
        <v>516</v>
      </c>
      <c r="B675" s="2" t="s">
        <v>770</v>
      </c>
      <c r="C675" s="3">
        <v>50</v>
      </c>
      <c r="D675" s="2" t="s">
        <v>758</v>
      </c>
      <c r="E675" s="4">
        <v>37.610115030000003</v>
      </c>
      <c r="F675" s="4">
        <v>3.4417237790000001</v>
      </c>
      <c r="G675" s="4">
        <v>21.06766867</v>
      </c>
      <c r="H675" s="2" t="s">
        <v>28</v>
      </c>
      <c r="I675" s="4">
        <v>30.602836020000002</v>
      </c>
      <c r="J675" s="4">
        <v>101.9051814</v>
      </c>
      <c r="K675" s="5">
        <v>38.340821290000001</v>
      </c>
      <c r="L675" s="3">
        <v>1</v>
      </c>
      <c r="M675" s="2" t="s">
        <v>764</v>
      </c>
      <c r="N675" s="2" t="s">
        <v>15</v>
      </c>
      <c r="O675" s="4">
        <v>13.408447058252948</v>
      </c>
      <c r="P675" s="2" t="str">
        <f t="shared" si="10"/>
        <v>Superior</v>
      </c>
    </row>
    <row r="676" spans="1:16" ht="20.100000000000001" customHeight="1" x14ac:dyDescent="0.3">
      <c r="A676" s="2" t="s">
        <v>71</v>
      </c>
      <c r="B676" s="2" t="s">
        <v>770</v>
      </c>
      <c r="C676" s="3">
        <v>62</v>
      </c>
      <c r="D676" s="2" t="s">
        <v>760</v>
      </c>
      <c r="E676" s="4">
        <v>68.573024709999999</v>
      </c>
      <c r="F676" s="4">
        <v>2.9303906460000002</v>
      </c>
      <c r="G676" s="4">
        <v>5.454692702</v>
      </c>
      <c r="H676" s="2" t="s">
        <v>14</v>
      </c>
      <c r="I676" s="4">
        <v>50.31669101</v>
      </c>
      <c r="J676" s="4">
        <v>93.893450349999995</v>
      </c>
      <c r="K676" s="5">
        <v>37.899791049999997</v>
      </c>
      <c r="L676" s="3">
        <v>4</v>
      </c>
      <c r="M676" s="2" t="s">
        <v>762</v>
      </c>
      <c r="N676" s="2" t="s">
        <v>15</v>
      </c>
      <c r="O676" s="4">
        <v>18.526779209021967</v>
      </c>
      <c r="P676" s="2" t="str">
        <f t="shared" si="10"/>
        <v>Superior</v>
      </c>
    </row>
    <row r="677" spans="1:16" ht="20.100000000000001" customHeight="1" x14ac:dyDescent="0.3">
      <c r="A677" s="2" t="s">
        <v>517</v>
      </c>
      <c r="B677" s="2" t="s">
        <v>768</v>
      </c>
      <c r="C677" s="3">
        <v>75</v>
      </c>
      <c r="D677" s="2" t="s">
        <v>757</v>
      </c>
      <c r="E677" s="4">
        <v>51.891279400000002</v>
      </c>
      <c r="F677" s="4">
        <v>1.854179252</v>
      </c>
      <c r="G677" s="4">
        <v>29.90089219</v>
      </c>
      <c r="H677" s="2" t="s">
        <v>28</v>
      </c>
      <c r="I677" s="4">
        <v>15.751627239999999</v>
      </c>
      <c r="J677" s="4">
        <v>57.050482109999997</v>
      </c>
      <c r="K677" s="5">
        <v>33.357231429999999</v>
      </c>
      <c r="L677" s="3">
        <v>3</v>
      </c>
      <c r="M677" s="2" t="s">
        <v>762</v>
      </c>
      <c r="N677" s="2" t="s">
        <v>18</v>
      </c>
      <c r="O677" s="4">
        <v>16.072878127194155</v>
      </c>
      <c r="P677" s="2" t="str">
        <f t="shared" si="10"/>
        <v>Superior</v>
      </c>
    </row>
    <row r="678" spans="1:16" ht="20.100000000000001" customHeight="1" x14ac:dyDescent="0.3">
      <c r="A678" s="2" t="s">
        <v>518</v>
      </c>
      <c r="B678" s="2" t="s">
        <v>771</v>
      </c>
      <c r="C678" s="3">
        <v>62</v>
      </c>
      <c r="D678" s="2" t="s">
        <v>761</v>
      </c>
      <c r="E678" s="4">
        <v>9.8899825030000006</v>
      </c>
      <c r="F678" s="4">
        <v>1.613781672</v>
      </c>
      <c r="G678" s="4">
        <v>40.440877460000003</v>
      </c>
      <c r="H678" s="2" t="s">
        <v>14</v>
      </c>
      <c r="I678" s="4">
        <v>14.647732319999999</v>
      </c>
      <c r="J678" s="4">
        <v>62.332361820000003</v>
      </c>
      <c r="K678" s="5">
        <v>19.95036064</v>
      </c>
      <c r="L678" s="3">
        <v>0</v>
      </c>
      <c r="M678" s="2" t="s">
        <v>762</v>
      </c>
      <c r="N678" s="2" t="s">
        <v>15</v>
      </c>
      <c r="O678" s="4">
        <v>2.9239209387856335</v>
      </c>
      <c r="P678" s="2" t="str">
        <f t="shared" si="10"/>
        <v>Low</v>
      </c>
    </row>
    <row r="679" spans="1:16" ht="20.100000000000001" customHeight="1" x14ac:dyDescent="0.3">
      <c r="A679" s="2" t="s">
        <v>519</v>
      </c>
      <c r="B679" s="2" t="s">
        <v>769</v>
      </c>
      <c r="C679" s="3">
        <v>62</v>
      </c>
      <c r="D679" s="2" t="s">
        <v>760</v>
      </c>
      <c r="E679" s="4">
        <v>69.105959900000002</v>
      </c>
      <c r="F679" s="4">
        <v>1.257151396</v>
      </c>
      <c r="G679" s="4">
        <v>27.381349199999999</v>
      </c>
      <c r="H679" s="2" t="s">
        <v>24</v>
      </c>
      <c r="I679" s="4">
        <v>20.569251550000001</v>
      </c>
      <c r="J679" s="4">
        <v>63.35465061</v>
      </c>
      <c r="K679" s="5">
        <v>41.341079020000002</v>
      </c>
      <c r="L679" s="3">
        <v>7</v>
      </c>
      <c r="M679" s="2" t="s">
        <v>764</v>
      </c>
      <c r="N679" s="2" t="s">
        <v>15</v>
      </c>
      <c r="O679" s="4">
        <v>18.331701644824321</v>
      </c>
      <c r="P679" s="2" t="str">
        <f t="shared" si="10"/>
        <v>Superior</v>
      </c>
    </row>
    <row r="680" spans="1:16" ht="20.100000000000001" customHeight="1" x14ac:dyDescent="0.3">
      <c r="A680" s="2" t="s">
        <v>520</v>
      </c>
      <c r="B680" s="2" t="s">
        <v>771</v>
      </c>
      <c r="C680" s="3">
        <v>75</v>
      </c>
      <c r="D680" s="2" t="s">
        <v>760</v>
      </c>
      <c r="E680" s="4">
        <v>18.30737392</v>
      </c>
      <c r="F680" s="4">
        <v>6.7730953270000001</v>
      </c>
      <c r="G680" s="4">
        <v>23.915511609999999</v>
      </c>
      <c r="H680" s="2" t="s">
        <v>24</v>
      </c>
      <c r="I680" s="4">
        <v>14.150088480000001</v>
      </c>
      <c r="J680" s="4">
        <v>82.196167389999999</v>
      </c>
      <c r="K680" s="5">
        <v>13.584474480000001</v>
      </c>
      <c r="L680" s="3">
        <v>7</v>
      </c>
      <c r="M680" s="2" t="s">
        <v>764</v>
      </c>
      <c r="N680" s="2" t="s">
        <v>15</v>
      </c>
      <c r="O680" s="4">
        <v>9.3430875779639706</v>
      </c>
      <c r="P680" s="2" t="str">
        <f t="shared" si="10"/>
        <v>Acceptable</v>
      </c>
    </row>
    <row r="681" spans="1:16" ht="20.100000000000001" customHeight="1" x14ac:dyDescent="0.3">
      <c r="A681" s="2" t="s">
        <v>521</v>
      </c>
      <c r="B681" s="2" t="s">
        <v>771</v>
      </c>
      <c r="C681" s="3">
        <v>75</v>
      </c>
      <c r="D681" s="2" t="s">
        <v>759</v>
      </c>
      <c r="E681" s="4">
        <v>41.744881489999997</v>
      </c>
      <c r="F681" s="4">
        <v>2.6078607520000001</v>
      </c>
      <c r="G681" s="4">
        <v>11.144567690000001</v>
      </c>
      <c r="H681" s="2" t="s">
        <v>14</v>
      </c>
      <c r="I681" s="4">
        <v>26.090808849999998</v>
      </c>
      <c r="J681" s="4">
        <v>66.722740759999994</v>
      </c>
      <c r="K681" s="5">
        <v>19.75721265</v>
      </c>
      <c r="L681" s="3">
        <v>6</v>
      </c>
      <c r="M681" s="2" t="s">
        <v>762</v>
      </c>
      <c r="N681" s="2" t="s">
        <v>21</v>
      </c>
      <c r="O681" s="4">
        <v>12.721313867195242</v>
      </c>
      <c r="P681" s="2" t="str">
        <f t="shared" si="10"/>
        <v>Superior</v>
      </c>
    </row>
    <row r="682" spans="1:16" ht="20.100000000000001" customHeight="1" x14ac:dyDescent="0.3">
      <c r="A682" s="2" t="s">
        <v>522</v>
      </c>
      <c r="B682" s="2" t="s">
        <v>768</v>
      </c>
      <c r="C682" s="3">
        <v>75</v>
      </c>
      <c r="D682" s="2" t="s">
        <v>760</v>
      </c>
      <c r="E682" s="4">
        <v>39.15231009</v>
      </c>
      <c r="F682" s="4">
        <v>1.315615687</v>
      </c>
      <c r="G682" s="4">
        <v>9.9381041949999993</v>
      </c>
      <c r="H682" s="2" t="s">
        <v>17</v>
      </c>
      <c r="I682" s="4">
        <v>14.671390430000001</v>
      </c>
      <c r="J682" s="4">
        <v>60.116142910000001</v>
      </c>
      <c r="K682" s="5">
        <v>32.051478609999997</v>
      </c>
      <c r="L682" s="3">
        <v>4</v>
      </c>
      <c r="M682" s="2" t="s">
        <v>762</v>
      </c>
      <c r="N682" s="2" t="s">
        <v>15</v>
      </c>
      <c r="O682" s="4">
        <v>13.344502807951924</v>
      </c>
      <c r="P682" s="2" t="str">
        <f t="shared" si="10"/>
        <v>Superior</v>
      </c>
    </row>
    <row r="683" spans="1:16" ht="20.100000000000001" customHeight="1" x14ac:dyDescent="0.3">
      <c r="A683" s="2" t="s">
        <v>523</v>
      </c>
      <c r="B683" s="2" t="s">
        <v>22</v>
      </c>
      <c r="C683" s="3">
        <v>62</v>
      </c>
      <c r="D683" s="2" t="s">
        <v>757</v>
      </c>
      <c r="E683" s="4">
        <v>18.03437795</v>
      </c>
      <c r="F683" s="4">
        <v>2.7569935729999999</v>
      </c>
      <c r="G683" s="4">
        <v>20.384304409999999</v>
      </c>
      <c r="H683" s="2" t="s">
        <v>28</v>
      </c>
      <c r="I683" s="4">
        <v>58.410712250000003</v>
      </c>
      <c r="J683" s="4">
        <v>146.84764390000001</v>
      </c>
      <c r="K683" s="5">
        <v>4.2699330690000004</v>
      </c>
      <c r="L683" s="3">
        <v>5</v>
      </c>
      <c r="M683" s="2" t="s">
        <v>764</v>
      </c>
      <c r="N683" s="2" t="s">
        <v>21</v>
      </c>
      <c r="O683" s="4">
        <v>9.8884113107093867</v>
      </c>
      <c r="P683" s="2" t="str">
        <f t="shared" si="10"/>
        <v>Acceptable</v>
      </c>
    </row>
    <row r="684" spans="1:16" ht="20.100000000000001" customHeight="1" x14ac:dyDescent="0.3">
      <c r="A684" s="2" t="s">
        <v>524</v>
      </c>
      <c r="B684" s="2" t="s">
        <v>771</v>
      </c>
      <c r="C684" s="3">
        <v>75</v>
      </c>
      <c r="D684" s="2" t="s">
        <v>759</v>
      </c>
      <c r="E684" s="4">
        <v>37.974180050000001</v>
      </c>
      <c r="F684" s="4">
        <v>1.743676523</v>
      </c>
      <c r="G684" s="4">
        <v>4.2752191359999996</v>
      </c>
      <c r="H684" s="2" t="s">
        <v>17</v>
      </c>
      <c r="I684" s="4">
        <v>35.798300300000001</v>
      </c>
      <c r="J684" s="4">
        <v>64.906556199999997</v>
      </c>
      <c r="K684" s="5">
        <v>18.329713510000001</v>
      </c>
      <c r="L684" s="3">
        <v>1</v>
      </c>
      <c r="M684" s="2" t="s">
        <v>763</v>
      </c>
      <c r="N684" s="2" t="s">
        <v>15</v>
      </c>
      <c r="O684" s="4">
        <v>8.2902161286605605</v>
      </c>
      <c r="P684" s="2" t="str">
        <f t="shared" si="10"/>
        <v>Acceptable</v>
      </c>
    </row>
    <row r="685" spans="1:16" ht="20.100000000000001" customHeight="1" x14ac:dyDescent="0.3">
      <c r="A685" s="2" t="s">
        <v>525</v>
      </c>
      <c r="B685" s="2" t="s">
        <v>770</v>
      </c>
      <c r="C685" s="3">
        <v>62</v>
      </c>
      <c r="D685" s="2" t="s">
        <v>759</v>
      </c>
      <c r="E685" s="4">
        <v>6.0067186340000003</v>
      </c>
      <c r="F685" s="4">
        <v>2.3357121570000001</v>
      </c>
      <c r="G685" s="4">
        <v>35.128246840000003</v>
      </c>
      <c r="H685" s="2" t="s">
        <v>17</v>
      </c>
      <c r="I685" s="4">
        <v>23.70526031</v>
      </c>
      <c r="J685" s="4">
        <v>58.83172596</v>
      </c>
      <c r="K685" s="5">
        <v>4.7889277989999997</v>
      </c>
      <c r="L685" s="3">
        <v>7</v>
      </c>
      <c r="M685" s="2" t="s">
        <v>763</v>
      </c>
      <c r="N685" s="2" t="s">
        <v>15</v>
      </c>
      <c r="O685" s="4">
        <v>1.308167733751779</v>
      </c>
      <c r="P685" s="2" t="str">
        <f t="shared" si="10"/>
        <v>Low</v>
      </c>
    </row>
    <row r="686" spans="1:16" ht="20.100000000000001" customHeight="1" x14ac:dyDescent="0.3">
      <c r="A686" s="2" t="s">
        <v>526</v>
      </c>
      <c r="B686" s="2" t="s">
        <v>770</v>
      </c>
      <c r="C686" s="3">
        <v>50</v>
      </c>
      <c r="D686" s="2" t="s">
        <v>757</v>
      </c>
      <c r="E686" s="4">
        <v>6.6235926940000001</v>
      </c>
      <c r="F686" s="4">
        <v>2.7002125600000002</v>
      </c>
      <c r="G686" s="4">
        <v>19.75648056</v>
      </c>
      <c r="H686" s="2" t="s">
        <v>14</v>
      </c>
      <c r="I686" s="4">
        <v>24.963613089999999</v>
      </c>
      <c r="J686" s="4">
        <v>68.640672559999999</v>
      </c>
      <c r="K686" s="5">
        <v>28.617521060000001</v>
      </c>
      <c r="L686" s="3">
        <v>7</v>
      </c>
      <c r="M686" s="2" t="s">
        <v>762</v>
      </c>
      <c r="N686" s="2" t="s">
        <v>18</v>
      </c>
      <c r="O686" s="4">
        <v>1.4464952600044776</v>
      </c>
      <c r="P686" s="2" t="str">
        <f t="shared" si="10"/>
        <v>Low</v>
      </c>
    </row>
    <row r="687" spans="1:16" ht="20.100000000000001" customHeight="1" x14ac:dyDescent="0.3">
      <c r="A687" s="2" t="s">
        <v>527</v>
      </c>
      <c r="B687" s="2" t="s">
        <v>770</v>
      </c>
      <c r="C687" s="3">
        <v>100</v>
      </c>
      <c r="D687" s="2" t="s">
        <v>760</v>
      </c>
      <c r="E687" s="4">
        <v>11.431328819999999</v>
      </c>
      <c r="F687" s="4">
        <v>1.937482886</v>
      </c>
      <c r="G687" s="4">
        <v>67.934678930000004</v>
      </c>
      <c r="H687" s="2" t="s">
        <v>17</v>
      </c>
      <c r="I687" s="4">
        <v>12.4299103</v>
      </c>
      <c r="J687" s="4">
        <v>91.490978040000002</v>
      </c>
      <c r="K687" s="5">
        <v>21.34994476</v>
      </c>
      <c r="L687" s="3">
        <v>0</v>
      </c>
      <c r="M687" s="2" t="s">
        <v>762</v>
      </c>
      <c r="N687" s="2" t="s">
        <v>15</v>
      </c>
      <c r="O687" s="4">
        <v>9.037730621962341</v>
      </c>
      <c r="P687" s="2" t="str">
        <f t="shared" si="10"/>
        <v>Acceptable</v>
      </c>
    </row>
    <row r="688" spans="1:16" ht="20.100000000000001" customHeight="1" x14ac:dyDescent="0.3">
      <c r="A688" s="2" t="s">
        <v>528</v>
      </c>
      <c r="B688" s="2" t="s">
        <v>771</v>
      </c>
      <c r="C688" s="3">
        <v>75</v>
      </c>
      <c r="D688" s="2" t="s">
        <v>757</v>
      </c>
      <c r="E688" s="4">
        <v>59.21757556</v>
      </c>
      <c r="F688" s="4">
        <v>1.6027506929999999</v>
      </c>
      <c r="G688" s="4">
        <v>41.426377930000001</v>
      </c>
      <c r="H688" s="2" t="s">
        <v>28</v>
      </c>
      <c r="I688" s="4">
        <v>42.299263719999999</v>
      </c>
      <c r="J688" s="4">
        <v>56.840099039999998</v>
      </c>
      <c r="K688" s="5">
        <v>20.42209326</v>
      </c>
      <c r="L688" s="3">
        <v>7</v>
      </c>
      <c r="M688" s="2" t="s">
        <v>763</v>
      </c>
      <c r="N688" s="2" t="s">
        <v>15</v>
      </c>
      <c r="O688" s="4">
        <v>6.4580476070071269</v>
      </c>
      <c r="P688" s="2" t="str">
        <f t="shared" si="10"/>
        <v>Acceptable</v>
      </c>
    </row>
    <row r="689" spans="1:16" ht="20.100000000000001" customHeight="1" x14ac:dyDescent="0.3">
      <c r="A689" s="2" t="s">
        <v>529</v>
      </c>
      <c r="B689" s="2" t="s">
        <v>771</v>
      </c>
      <c r="C689" s="3">
        <v>75</v>
      </c>
      <c r="D689" s="2" t="s">
        <v>759</v>
      </c>
      <c r="E689" s="4">
        <v>40.857276409999997</v>
      </c>
      <c r="F689" s="4">
        <v>2.5395334420000002</v>
      </c>
      <c r="G689" s="4">
        <v>6.4988019210000001</v>
      </c>
      <c r="H689" s="2" t="s">
        <v>17</v>
      </c>
      <c r="I689" s="4">
        <v>13.95954712</v>
      </c>
      <c r="J689" s="4">
        <v>64.563535790000003</v>
      </c>
      <c r="K689" s="5">
        <v>3.3129340260000002</v>
      </c>
      <c r="L689" s="3">
        <v>1</v>
      </c>
      <c r="M689" s="2" t="s">
        <v>764</v>
      </c>
      <c r="N689" s="2" t="s">
        <v>21</v>
      </c>
      <c r="O689" s="4">
        <v>15.506558644040238</v>
      </c>
      <c r="P689" s="2" t="str">
        <f t="shared" si="10"/>
        <v>Superior</v>
      </c>
    </row>
    <row r="690" spans="1:16" ht="20.100000000000001" customHeight="1" x14ac:dyDescent="0.3">
      <c r="A690" s="2" t="s">
        <v>530</v>
      </c>
      <c r="B690" s="2" t="s">
        <v>771</v>
      </c>
      <c r="C690" s="3">
        <v>62</v>
      </c>
      <c r="D690" s="2" t="s">
        <v>757</v>
      </c>
      <c r="E690" s="4">
        <v>78.236752550000006</v>
      </c>
      <c r="F690" s="4">
        <v>3.8166227340000001</v>
      </c>
      <c r="G690" s="4">
        <v>16.394166210000002</v>
      </c>
      <c r="H690" s="2" t="s">
        <v>14</v>
      </c>
      <c r="I690" s="4">
        <v>75.675772600000002</v>
      </c>
      <c r="J690" s="4">
        <v>85.294990560000002</v>
      </c>
      <c r="K690" s="5">
        <v>37.879780799999999</v>
      </c>
      <c r="L690" s="3">
        <v>6</v>
      </c>
      <c r="M690" s="2" t="s">
        <v>763</v>
      </c>
      <c r="N690" s="2" t="s">
        <v>21</v>
      </c>
      <c r="O690" s="4">
        <v>4.6659735266184219</v>
      </c>
      <c r="P690" s="2" t="str">
        <f t="shared" si="10"/>
        <v>Acceptable</v>
      </c>
    </row>
    <row r="691" spans="1:16" ht="20.100000000000001" customHeight="1" x14ac:dyDescent="0.3">
      <c r="A691" s="2" t="s">
        <v>531</v>
      </c>
      <c r="B691" s="2" t="s">
        <v>22</v>
      </c>
      <c r="C691" s="3">
        <v>50</v>
      </c>
      <c r="D691" s="2" t="s">
        <v>761</v>
      </c>
      <c r="E691" s="4">
        <v>17.47337752</v>
      </c>
      <c r="F691" s="4">
        <v>0.83457807699999997</v>
      </c>
      <c r="G691" s="4">
        <v>25.792635440000002</v>
      </c>
      <c r="H691" s="2" t="s">
        <v>28</v>
      </c>
      <c r="I691" s="4">
        <v>64.004049850000001</v>
      </c>
      <c r="J691" s="4">
        <v>93.614144449999998</v>
      </c>
      <c r="K691" s="5">
        <v>9.4625080789999991</v>
      </c>
      <c r="L691" s="3">
        <v>5</v>
      </c>
      <c r="M691" s="2" t="s">
        <v>763</v>
      </c>
      <c r="N691" s="2" t="s">
        <v>15</v>
      </c>
      <c r="O691" s="4">
        <v>2.586941806743567</v>
      </c>
      <c r="P691" s="2" t="str">
        <f t="shared" si="10"/>
        <v>Low</v>
      </c>
    </row>
    <row r="692" spans="1:16" ht="20.100000000000001" customHeight="1" x14ac:dyDescent="0.3">
      <c r="A692" s="2" t="s">
        <v>532</v>
      </c>
      <c r="B692" s="2" t="s">
        <v>768</v>
      </c>
      <c r="C692" s="3">
        <v>75</v>
      </c>
      <c r="D692" s="2" t="s">
        <v>757</v>
      </c>
      <c r="E692" s="4">
        <v>26.221067600000001</v>
      </c>
      <c r="F692" s="4">
        <v>1.113860048</v>
      </c>
      <c r="G692" s="4">
        <v>29.53589341</v>
      </c>
      <c r="H692" s="2" t="s">
        <v>24</v>
      </c>
      <c r="I692" s="4">
        <v>45.55484878</v>
      </c>
      <c r="J692" s="4">
        <v>63.627526629999998</v>
      </c>
      <c r="K692" s="5">
        <v>35.509869039999998</v>
      </c>
      <c r="L692" s="3">
        <v>0</v>
      </c>
      <c r="M692" s="2" t="s">
        <v>763</v>
      </c>
      <c r="N692" s="2" t="s">
        <v>21</v>
      </c>
      <c r="O692" s="4">
        <v>3.5541368071340447</v>
      </c>
      <c r="P692" s="2" t="str">
        <f t="shared" si="10"/>
        <v>Acceptable</v>
      </c>
    </row>
    <row r="693" spans="1:16" ht="20.100000000000001" customHeight="1" x14ac:dyDescent="0.3">
      <c r="A693" s="2" t="s">
        <v>72</v>
      </c>
      <c r="B693" s="2" t="s">
        <v>770</v>
      </c>
      <c r="C693" s="3">
        <v>85</v>
      </c>
      <c r="D693" s="2" t="s">
        <v>761</v>
      </c>
      <c r="E693" s="4">
        <v>7.9309014500000004</v>
      </c>
      <c r="F693" s="4">
        <v>2.342395786</v>
      </c>
      <c r="G693" s="4">
        <v>44.122129989999998</v>
      </c>
      <c r="H693" s="2" t="s">
        <v>14</v>
      </c>
      <c r="I693" s="4">
        <v>42.739071760000002</v>
      </c>
      <c r="J693" s="4">
        <v>72.966023100000001</v>
      </c>
      <c r="K693" s="5">
        <v>16.808358269999999</v>
      </c>
      <c r="L693" s="3">
        <v>7</v>
      </c>
      <c r="M693" s="2" t="s">
        <v>764</v>
      </c>
      <c r="N693" s="2" t="s">
        <v>18</v>
      </c>
      <c r="O693" s="4">
        <v>2.0376792637976262</v>
      </c>
      <c r="P693" s="2" t="str">
        <f t="shared" si="10"/>
        <v>Low</v>
      </c>
    </row>
    <row r="694" spans="1:16" ht="20.100000000000001" customHeight="1" x14ac:dyDescent="0.3">
      <c r="A694" s="2" t="s">
        <v>533</v>
      </c>
      <c r="B694" s="2" t="s">
        <v>770</v>
      </c>
      <c r="C694" s="3">
        <v>100</v>
      </c>
      <c r="D694" s="2" t="s">
        <v>761</v>
      </c>
      <c r="E694" s="4">
        <v>55.408584509999997</v>
      </c>
      <c r="F694" s="4">
        <v>3.8435016860000002</v>
      </c>
      <c r="G694" s="4">
        <v>29.598302669999999</v>
      </c>
      <c r="H694" s="2" t="s">
        <v>17</v>
      </c>
      <c r="I694" s="4">
        <v>16.382074020000001</v>
      </c>
      <c r="J694" s="4">
        <v>86.678376130000004</v>
      </c>
      <c r="K694" s="5">
        <v>5.1846913790000002</v>
      </c>
      <c r="L694" s="3">
        <v>7</v>
      </c>
      <c r="M694" s="2" t="s">
        <v>762</v>
      </c>
      <c r="N694" s="2" t="s">
        <v>18</v>
      </c>
      <c r="O694" s="4">
        <v>38.950185962024264</v>
      </c>
      <c r="P694" s="2" t="str">
        <f t="shared" si="10"/>
        <v>Outstanding</v>
      </c>
    </row>
    <row r="695" spans="1:16" ht="20.100000000000001" customHeight="1" x14ac:dyDescent="0.3">
      <c r="A695" s="2" t="s">
        <v>534</v>
      </c>
      <c r="B695" s="2" t="s">
        <v>768</v>
      </c>
      <c r="C695" s="3">
        <v>62</v>
      </c>
      <c r="D695" s="2" t="s">
        <v>758</v>
      </c>
      <c r="E695" s="4">
        <v>33.47231506</v>
      </c>
      <c r="F695" s="4">
        <v>3.2985827799999998</v>
      </c>
      <c r="G695" s="4">
        <v>43.481763989999997</v>
      </c>
      <c r="H695" s="2" t="s">
        <v>24</v>
      </c>
      <c r="I695" s="4">
        <v>76.462362619999993</v>
      </c>
      <c r="J695" s="4">
        <v>81.412497049999999</v>
      </c>
      <c r="K695" s="5">
        <v>8.6562549050000008</v>
      </c>
      <c r="L695" s="3">
        <v>6</v>
      </c>
      <c r="M695" s="2" t="s">
        <v>763</v>
      </c>
      <c r="N695" s="2" t="s">
        <v>21</v>
      </c>
      <c r="O695" s="4">
        <v>1.0272932472279448</v>
      </c>
      <c r="P695" s="2" t="str">
        <f t="shared" si="10"/>
        <v>Low</v>
      </c>
    </row>
    <row r="696" spans="1:16" ht="20.100000000000001" customHeight="1" x14ac:dyDescent="0.3">
      <c r="A696" s="2" t="s">
        <v>535</v>
      </c>
      <c r="B696" s="2" t="s">
        <v>771</v>
      </c>
      <c r="C696" s="3">
        <v>50</v>
      </c>
      <c r="D696" s="2" t="s">
        <v>759</v>
      </c>
      <c r="E696" s="4">
        <v>53.575201710000002</v>
      </c>
      <c r="F696" s="4">
        <v>0.83437463300000003</v>
      </c>
      <c r="G696" s="4">
        <v>27.328398360000001</v>
      </c>
      <c r="H696" s="2" t="s">
        <v>14</v>
      </c>
      <c r="I696" s="4">
        <v>18.334245800000001</v>
      </c>
      <c r="J696" s="4">
        <v>83.750534630000004</v>
      </c>
      <c r="K696" s="5">
        <v>5.5696590410000004</v>
      </c>
      <c r="L696" s="3">
        <v>0</v>
      </c>
      <c r="M696" s="2" t="s">
        <v>762</v>
      </c>
      <c r="N696" s="2" t="s">
        <v>21</v>
      </c>
      <c r="O696" s="4">
        <v>17.523454345934351</v>
      </c>
      <c r="P696" s="2" t="str">
        <f t="shared" si="10"/>
        <v>Superior</v>
      </c>
    </row>
    <row r="697" spans="1:16" ht="20.100000000000001" customHeight="1" x14ac:dyDescent="0.3">
      <c r="A697" s="2" t="s">
        <v>536</v>
      </c>
      <c r="B697" s="2" t="s">
        <v>768</v>
      </c>
      <c r="C697" s="3">
        <v>94.358174169999998</v>
      </c>
      <c r="D697" s="2" t="s">
        <v>759</v>
      </c>
      <c r="E697" s="4">
        <v>11.288428850000001</v>
      </c>
      <c r="F697" s="4">
        <v>2.392842989</v>
      </c>
      <c r="G697" s="4">
        <v>6.3351849600000003</v>
      </c>
      <c r="H697" s="2" t="s">
        <v>17</v>
      </c>
      <c r="I697" s="4">
        <v>81.483886440000006</v>
      </c>
      <c r="J697" s="4">
        <v>83.173004910000003</v>
      </c>
      <c r="K697" s="5">
        <v>23.156295050000001</v>
      </c>
      <c r="L697" s="3">
        <v>4</v>
      </c>
      <c r="M697" s="2" t="s">
        <v>762</v>
      </c>
      <c r="N697" s="2" t="s">
        <v>21</v>
      </c>
      <c r="O697" s="4">
        <v>0.17991738884931377</v>
      </c>
      <c r="P697" s="2" t="str">
        <f t="shared" si="10"/>
        <v>Low</v>
      </c>
    </row>
    <row r="698" spans="1:16" ht="20.100000000000001" customHeight="1" x14ac:dyDescent="0.3">
      <c r="A698" s="2" t="s">
        <v>537</v>
      </c>
      <c r="B698" s="2" t="s">
        <v>769</v>
      </c>
      <c r="C698" s="3">
        <v>85</v>
      </c>
      <c r="D698" s="2" t="s">
        <v>761</v>
      </c>
      <c r="E698" s="4">
        <v>6.2691007599999997</v>
      </c>
      <c r="F698" s="4">
        <v>1.081960289</v>
      </c>
      <c r="G698" s="4">
        <v>14.86299535</v>
      </c>
      <c r="H698" s="2" t="s">
        <v>24</v>
      </c>
      <c r="I698" s="4">
        <v>12.439951170000001</v>
      </c>
      <c r="J698" s="4">
        <v>64.039439950000002</v>
      </c>
      <c r="K698" s="5">
        <v>2.882559621</v>
      </c>
      <c r="L698" s="3">
        <v>2.64765512</v>
      </c>
      <c r="M698" s="2" t="s">
        <v>762</v>
      </c>
      <c r="N698" s="2" t="s">
        <v>21</v>
      </c>
      <c r="O698" s="4">
        <v>2.7496003517736307</v>
      </c>
      <c r="P698" s="2" t="str">
        <f t="shared" si="10"/>
        <v>Low</v>
      </c>
    </row>
    <row r="699" spans="1:16" ht="20.100000000000001" customHeight="1" x14ac:dyDescent="0.3">
      <c r="A699" s="2" t="s">
        <v>538</v>
      </c>
      <c r="B699" s="2" t="s">
        <v>770</v>
      </c>
      <c r="C699" s="3">
        <v>75</v>
      </c>
      <c r="D699" s="2" t="s">
        <v>759</v>
      </c>
      <c r="E699" s="4">
        <v>42.95272027</v>
      </c>
      <c r="F699" s="4">
        <v>1.6149989819999999</v>
      </c>
      <c r="G699" s="4">
        <v>9.873961585</v>
      </c>
      <c r="H699" s="2" t="s">
        <v>14</v>
      </c>
      <c r="I699" s="4">
        <v>61.3488623</v>
      </c>
      <c r="J699" s="4">
        <v>77.185513169999993</v>
      </c>
      <c r="K699" s="5">
        <v>3.7336963750000001</v>
      </c>
      <c r="L699" s="3">
        <v>2</v>
      </c>
      <c r="M699" s="2" t="s">
        <v>762</v>
      </c>
      <c r="N699" s="2" t="s">
        <v>21</v>
      </c>
      <c r="O699" s="4">
        <v>5.1017042612457137</v>
      </c>
      <c r="P699" s="2" t="str">
        <f t="shared" si="10"/>
        <v>Acceptable</v>
      </c>
    </row>
    <row r="700" spans="1:16" ht="20.100000000000001" customHeight="1" x14ac:dyDescent="0.3">
      <c r="A700" s="2" t="s">
        <v>539</v>
      </c>
      <c r="B700" s="2" t="s">
        <v>770</v>
      </c>
      <c r="C700" s="3">
        <v>75</v>
      </c>
      <c r="D700" s="2" t="s">
        <v>760</v>
      </c>
      <c r="E700" s="4">
        <v>43.244937159999999</v>
      </c>
      <c r="F700" s="4">
        <v>3.196532328</v>
      </c>
      <c r="G700" s="4">
        <v>13.10973684</v>
      </c>
      <c r="H700" s="2" t="s">
        <v>24</v>
      </c>
      <c r="I700" s="4">
        <v>27.776033049999999</v>
      </c>
      <c r="J700" s="4">
        <v>52.49968088</v>
      </c>
      <c r="K700" s="5">
        <v>20.004205599999999</v>
      </c>
      <c r="L700" s="3">
        <v>7</v>
      </c>
      <c r="M700" s="2" t="s">
        <v>764</v>
      </c>
      <c r="N700" s="2" t="s">
        <v>18</v>
      </c>
      <c r="O700" s="4">
        <v>8.0187944758074021</v>
      </c>
      <c r="P700" s="2" t="str">
        <f t="shared" si="10"/>
        <v>Acceptable</v>
      </c>
    </row>
    <row r="701" spans="1:16" ht="20.100000000000001" customHeight="1" x14ac:dyDescent="0.3">
      <c r="A701" s="2" t="s">
        <v>540</v>
      </c>
      <c r="B701" s="2" t="s">
        <v>771</v>
      </c>
      <c r="C701" s="3">
        <v>100</v>
      </c>
      <c r="D701" s="2" t="s">
        <v>760</v>
      </c>
      <c r="E701" s="4">
        <v>74.182670830000006</v>
      </c>
      <c r="F701" s="4">
        <v>1.0668374060000001</v>
      </c>
      <c r="G701" s="4">
        <v>19.437132269999999</v>
      </c>
      <c r="H701" s="2" t="s">
        <v>17</v>
      </c>
      <c r="I701" s="4">
        <v>76.200179259999999</v>
      </c>
      <c r="J701" s="4">
        <v>93.645625710000004</v>
      </c>
      <c r="K701" s="5">
        <v>26.653568509999999</v>
      </c>
      <c r="L701" s="3">
        <v>6.3773001389999999</v>
      </c>
      <c r="M701" s="2" t="s">
        <v>764</v>
      </c>
      <c r="N701" s="2" t="s">
        <v>18</v>
      </c>
      <c r="O701" s="4">
        <v>12.941498114827425</v>
      </c>
      <c r="P701" s="2" t="str">
        <f t="shared" si="10"/>
        <v>Superior</v>
      </c>
    </row>
    <row r="702" spans="1:16" ht="20.100000000000001" customHeight="1" x14ac:dyDescent="0.3">
      <c r="A702" s="2" t="s">
        <v>541</v>
      </c>
      <c r="B702" s="2" t="s">
        <v>770</v>
      </c>
      <c r="C702" s="3">
        <v>100</v>
      </c>
      <c r="D702" s="2" t="s">
        <v>758</v>
      </c>
      <c r="E702" s="4">
        <v>72.089242769999998</v>
      </c>
      <c r="F702" s="4">
        <v>2.496163492</v>
      </c>
      <c r="G702" s="4">
        <v>7.4945755109999999</v>
      </c>
      <c r="H702" s="2" t="s">
        <v>28</v>
      </c>
      <c r="I702" s="4">
        <v>22.9005078</v>
      </c>
      <c r="J702" s="4">
        <v>94.208255190000003</v>
      </c>
      <c r="K702" s="5">
        <v>3.9270317879999999</v>
      </c>
      <c r="L702" s="3">
        <v>4</v>
      </c>
      <c r="M702" s="2" t="s">
        <v>762</v>
      </c>
      <c r="N702" s="2" t="s">
        <v>21</v>
      </c>
      <c r="O702" s="4">
        <v>51.405215129795444</v>
      </c>
      <c r="P702" s="2" t="str">
        <f t="shared" si="10"/>
        <v>Outstanding</v>
      </c>
    </row>
    <row r="703" spans="1:16" ht="20.100000000000001" customHeight="1" x14ac:dyDescent="0.3">
      <c r="A703" s="2" t="s">
        <v>542</v>
      </c>
      <c r="B703" s="2" t="s">
        <v>768</v>
      </c>
      <c r="C703" s="3">
        <v>75</v>
      </c>
      <c r="D703" s="2" t="s">
        <v>759</v>
      </c>
      <c r="E703" s="4">
        <v>25.329724259999999</v>
      </c>
      <c r="F703" s="4">
        <v>1.742723987</v>
      </c>
      <c r="G703" s="4">
        <v>29.14626075</v>
      </c>
      <c r="H703" s="2" t="s">
        <v>28</v>
      </c>
      <c r="I703" s="4">
        <v>17.39679727</v>
      </c>
      <c r="J703" s="4">
        <v>70.367851220000006</v>
      </c>
      <c r="K703" s="5">
        <v>6.3163032499999998</v>
      </c>
      <c r="L703" s="3">
        <v>3</v>
      </c>
      <c r="M703" s="2" t="s">
        <v>763</v>
      </c>
      <c r="N703" s="2" t="s">
        <v>15</v>
      </c>
      <c r="O703" s="4">
        <v>10.063066427363129</v>
      </c>
      <c r="P703" s="2" t="str">
        <f t="shared" si="10"/>
        <v>Superior</v>
      </c>
    </row>
    <row r="704" spans="1:16" ht="20.100000000000001" customHeight="1" x14ac:dyDescent="0.3">
      <c r="A704" s="2" t="s">
        <v>543</v>
      </c>
      <c r="B704" s="2" t="s">
        <v>22</v>
      </c>
      <c r="C704" s="3">
        <v>85</v>
      </c>
      <c r="D704" s="2" t="s">
        <v>760</v>
      </c>
      <c r="E704" s="4">
        <v>58.509302030000001</v>
      </c>
      <c r="F704" s="4">
        <v>1.608912844</v>
      </c>
      <c r="G704" s="4">
        <v>19.89667189</v>
      </c>
      <c r="H704" s="2" t="s">
        <v>24</v>
      </c>
      <c r="I704" s="4">
        <v>74.910897890000001</v>
      </c>
      <c r="J704" s="4">
        <v>80.227061329999998</v>
      </c>
      <c r="K704" s="5">
        <v>21.77882687</v>
      </c>
      <c r="L704" s="3">
        <v>4</v>
      </c>
      <c r="M704" s="2" t="s">
        <v>763</v>
      </c>
      <c r="N704" s="2" t="s">
        <v>18</v>
      </c>
      <c r="O704" s="4">
        <v>2.6438826049903303</v>
      </c>
      <c r="P704" s="2" t="str">
        <f t="shared" si="10"/>
        <v>Low</v>
      </c>
    </row>
    <row r="705" spans="1:16" ht="20.100000000000001" customHeight="1" x14ac:dyDescent="0.3">
      <c r="A705" s="2" t="s">
        <v>544</v>
      </c>
      <c r="B705" s="2" t="s">
        <v>769</v>
      </c>
      <c r="C705" s="3">
        <v>85</v>
      </c>
      <c r="D705" s="2" t="s">
        <v>759</v>
      </c>
      <c r="E705" s="4">
        <v>39.189987510000002</v>
      </c>
      <c r="F705" s="4">
        <v>2.7285229580000001</v>
      </c>
      <c r="G705" s="4">
        <v>19.26004584</v>
      </c>
      <c r="H705" s="2" t="s">
        <v>14</v>
      </c>
      <c r="I705" s="4">
        <v>16.99015327</v>
      </c>
      <c r="J705" s="4">
        <v>86.175567950000001</v>
      </c>
      <c r="K705" s="5">
        <v>32.825599240000003</v>
      </c>
      <c r="L705" s="3">
        <v>5</v>
      </c>
      <c r="M705" s="2" t="s">
        <v>764</v>
      </c>
      <c r="N705" s="2" t="s">
        <v>15</v>
      </c>
      <c r="O705" s="4">
        <v>23.046692066058657</v>
      </c>
      <c r="P705" s="2" t="str">
        <f t="shared" si="10"/>
        <v>Outstanding</v>
      </c>
    </row>
    <row r="706" spans="1:16" ht="20.100000000000001" customHeight="1" x14ac:dyDescent="0.3">
      <c r="A706" s="2" t="s">
        <v>545</v>
      </c>
      <c r="B706" s="2" t="s">
        <v>768</v>
      </c>
      <c r="C706" s="3">
        <v>100</v>
      </c>
      <c r="D706" s="2" t="s">
        <v>757</v>
      </c>
      <c r="E706" s="4">
        <v>79.357376869999996</v>
      </c>
      <c r="F706" s="4">
        <v>3.3659923630000002</v>
      </c>
      <c r="G706" s="4">
        <v>12.79554278</v>
      </c>
      <c r="H706" s="2" t="s">
        <v>14</v>
      </c>
      <c r="I706" s="4">
        <v>28.92874741</v>
      </c>
      <c r="J706" s="4">
        <v>89.160669220000003</v>
      </c>
      <c r="K706" s="5">
        <v>24.910424819999999</v>
      </c>
      <c r="L706" s="3">
        <v>7</v>
      </c>
      <c r="M706" s="2" t="s">
        <v>764</v>
      </c>
      <c r="N706" s="2" t="s">
        <v>15</v>
      </c>
      <c r="O706" s="4">
        <v>47.798473186805424</v>
      </c>
      <c r="P706" s="2" t="str">
        <f t="shared" si="10"/>
        <v>Outstanding</v>
      </c>
    </row>
    <row r="707" spans="1:16" ht="20.100000000000001" customHeight="1" x14ac:dyDescent="0.3">
      <c r="A707" s="2" t="s">
        <v>73</v>
      </c>
      <c r="B707" s="2" t="s">
        <v>769</v>
      </c>
      <c r="C707" s="3">
        <v>75</v>
      </c>
      <c r="D707" s="2" t="s">
        <v>761</v>
      </c>
      <c r="E707" s="4">
        <v>55.729203349999999</v>
      </c>
      <c r="F707" s="4">
        <v>3.8290118099999999</v>
      </c>
      <c r="G707" s="4">
        <v>21.723067319999998</v>
      </c>
      <c r="H707" s="2" t="s">
        <v>17</v>
      </c>
      <c r="I707" s="4">
        <v>63.404968140000001</v>
      </c>
      <c r="J707" s="4">
        <v>68.347855640000006</v>
      </c>
      <c r="K707" s="5">
        <v>34.663455769999999</v>
      </c>
      <c r="L707" s="3">
        <v>0</v>
      </c>
      <c r="M707" s="2" t="s">
        <v>763</v>
      </c>
      <c r="N707" s="2" t="s">
        <v>18</v>
      </c>
      <c r="O707" s="4">
        <v>2.0659738696775505</v>
      </c>
      <c r="P707" s="2" t="str">
        <f t="shared" ref="P707:P722" si="11">IF(O707 &lt; 3, "Low", IF(O707 &lt; 10, "Acceptable", IF(O707 &lt; 20, "Superior", "Outstanding")))</f>
        <v>Low</v>
      </c>
    </row>
    <row r="708" spans="1:16" ht="20.100000000000001" customHeight="1" x14ac:dyDescent="0.3">
      <c r="A708" s="2" t="s">
        <v>546</v>
      </c>
      <c r="B708" s="2" t="s">
        <v>769</v>
      </c>
      <c r="C708" s="3">
        <v>62</v>
      </c>
      <c r="D708" s="2" t="s">
        <v>761</v>
      </c>
      <c r="E708" s="4">
        <v>76.663827979999994</v>
      </c>
      <c r="F708" s="4">
        <v>4.1896810440000003</v>
      </c>
      <c r="G708" s="4">
        <v>14.22515405</v>
      </c>
      <c r="H708" s="2" t="s">
        <v>14</v>
      </c>
      <c r="I708" s="4">
        <v>35.732139060000002</v>
      </c>
      <c r="J708" s="4">
        <v>84.327913199999998</v>
      </c>
      <c r="K708" s="5">
        <v>26.596317880000001</v>
      </c>
      <c r="L708" s="3">
        <v>0</v>
      </c>
      <c r="M708" s="2" t="s">
        <v>762</v>
      </c>
      <c r="N708" s="2" t="s">
        <v>18</v>
      </c>
      <c r="O708" s="4">
        <v>23.098336029188133</v>
      </c>
      <c r="P708" s="2" t="str">
        <f t="shared" si="11"/>
        <v>Outstanding</v>
      </c>
    </row>
    <row r="709" spans="1:16" ht="20.100000000000001" customHeight="1" x14ac:dyDescent="0.3">
      <c r="A709" s="2" t="s">
        <v>547</v>
      </c>
      <c r="B709" s="2" t="s">
        <v>769</v>
      </c>
      <c r="C709" s="3">
        <v>50</v>
      </c>
      <c r="D709" s="2" t="s">
        <v>758</v>
      </c>
      <c r="E709" s="4">
        <v>45.813661570000001</v>
      </c>
      <c r="F709" s="4">
        <v>3.4441791959999999</v>
      </c>
      <c r="G709" s="4">
        <v>17.3546406</v>
      </c>
      <c r="H709" s="2" t="s">
        <v>28</v>
      </c>
      <c r="I709" s="4">
        <v>68.434118490000003</v>
      </c>
      <c r="J709" s="4">
        <v>86.795171539999998</v>
      </c>
      <c r="K709" s="5">
        <v>28.431211489999999</v>
      </c>
      <c r="L709" s="3">
        <v>0</v>
      </c>
      <c r="M709" s="2" t="s">
        <v>764</v>
      </c>
      <c r="N709" s="2" t="s">
        <v>21</v>
      </c>
      <c r="O709" s="4">
        <v>4.2059353525075807</v>
      </c>
      <c r="P709" s="2" t="str">
        <f t="shared" si="11"/>
        <v>Acceptable</v>
      </c>
    </row>
    <row r="710" spans="1:16" ht="20.100000000000001" customHeight="1" x14ac:dyDescent="0.3">
      <c r="A710" s="2" t="s">
        <v>548</v>
      </c>
      <c r="B710" s="2" t="s">
        <v>769</v>
      </c>
      <c r="C710" s="3">
        <v>100</v>
      </c>
      <c r="D710" s="2" t="s">
        <v>761</v>
      </c>
      <c r="E710" s="4">
        <v>60.386297910000003</v>
      </c>
      <c r="F710" s="4">
        <v>3.4602596339999998</v>
      </c>
      <c r="G710" s="4">
        <v>8.6583260620000004</v>
      </c>
      <c r="H710" s="2" t="s">
        <v>17</v>
      </c>
      <c r="I710" s="4">
        <v>64.077722030000004</v>
      </c>
      <c r="J710" s="4">
        <v>83.384334289999998</v>
      </c>
      <c r="K710" s="5">
        <v>22.61348345</v>
      </c>
      <c r="L710" s="3">
        <v>6</v>
      </c>
      <c r="M710" s="2" t="s">
        <v>763</v>
      </c>
      <c r="N710" s="2" t="s">
        <v>18</v>
      </c>
      <c r="O710" s="4">
        <v>11.658548395652181</v>
      </c>
      <c r="P710" s="2" t="str">
        <f t="shared" si="11"/>
        <v>Superior</v>
      </c>
    </row>
    <row r="711" spans="1:16" ht="20.100000000000001" customHeight="1" x14ac:dyDescent="0.3">
      <c r="A711" s="2" t="s">
        <v>549</v>
      </c>
      <c r="B711" s="2" t="s">
        <v>768</v>
      </c>
      <c r="C711" s="3">
        <v>100</v>
      </c>
      <c r="D711" s="2" t="s">
        <v>760</v>
      </c>
      <c r="E711" s="4">
        <v>32.598880790000003</v>
      </c>
      <c r="F711" s="4">
        <v>2.3863674179999999</v>
      </c>
      <c r="G711" s="4">
        <v>41.219374649999999</v>
      </c>
      <c r="H711" s="2" t="s">
        <v>28</v>
      </c>
      <c r="I711" s="4">
        <v>59.288496539999997</v>
      </c>
      <c r="J711" s="4">
        <v>75.733176940000007</v>
      </c>
      <c r="K711" s="5">
        <v>37.066599420000003</v>
      </c>
      <c r="L711" s="3">
        <v>6</v>
      </c>
      <c r="M711" s="2" t="s">
        <v>762</v>
      </c>
      <c r="N711" s="2" t="s">
        <v>21</v>
      </c>
      <c r="O711" s="4">
        <v>5.3607817598924985</v>
      </c>
      <c r="P711" s="2" t="str">
        <f t="shared" si="11"/>
        <v>Acceptable</v>
      </c>
    </row>
    <row r="712" spans="1:16" ht="20.100000000000001" customHeight="1" x14ac:dyDescent="0.3">
      <c r="A712" s="2" t="s">
        <v>550</v>
      </c>
      <c r="B712" s="2" t="s">
        <v>769</v>
      </c>
      <c r="C712" s="3">
        <v>101.87987270000001</v>
      </c>
      <c r="D712" s="2" t="s">
        <v>761</v>
      </c>
      <c r="E712" s="4">
        <v>53.398968750000002</v>
      </c>
      <c r="F712" s="4">
        <v>3.2439420779999999</v>
      </c>
      <c r="G712" s="4">
        <v>40.575587550000002</v>
      </c>
      <c r="H712" s="2" t="s">
        <v>28</v>
      </c>
      <c r="I712" s="4">
        <v>33.829158980000003</v>
      </c>
      <c r="J712" s="4">
        <v>95.040556050000006</v>
      </c>
      <c r="K712" s="5">
        <v>27.898502619999999</v>
      </c>
      <c r="L712" s="3">
        <v>4.186588285</v>
      </c>
      <c r="M712" s="2" t="s">
        <v>762</v>
      </c>
      <c r="N712" s="2" t="s">
        <v>15</v>
      </c>
      <c r="O712" s="4">
        <v>33.300714773350904</v>
      </c>
      <c r="P712" s="2" t="str">
        <f t="shared" si="11"/>
        <v>Outstanding</v>
      </c>
    </row>
    <row r="713" spans="1:16" ht="20.100000000000001" customHeight="1" x14ac:dyDescent="0.3">
      <c r="A713" s="2" t="s">
        <v>551</v>
      </c>
      <c r="B713" s="2" t="s">
        <v>22</v>
      </c>
      <c r="C713" s="3">
        <v>62</v>
      </c>
      <c r="D713" s="2" t="s">
        <v>761</v>
      </c>
      <c r="E713" s="4">
        <v>73.452575780000004</v>
      </c>
      <c r="F713" s="4">
        <v>3.6445593700000001</v>
      </c>
      <c r="G713" s="4">
        <v>15.41579306</v>
      </c>
      <c r="H713" s="2" t="s">
        <v>14</v>
      </c>
      <c r="I713" s="4">
        <v>17.42898675</v>
      </c>
      <c r="J713" s="4">
        <v>87.444897830000002</v>
      </c>
      <c r="K713" s="5">
        <v>37.3068083</v>
      </c>
      <c r="L713" s="3">
        <v>4</v>
      </c>
      <c r="M713" s="2" t="s">
        <v>762</v>
      </c>
      <c r="N713" s="2" t="s">
        <v>21</v>
      </c>
      <c r="O713" s="4">
        <v>31.885663889338534</v>
      </c>
      <c r="P713" s="2" t="str">
        <f t="shared" si="11"/>
        <v>Outstanding</v>
      </c>
    </row>
    <row r="714" spans="1:16" ht="20.100000000000001" customHeight="1" x14ac:dyDescent="0.3">
      <c r="A714" s="2" t="s">
        <v>552</v>
      </c>
      <c r="B714" s="2" t="s">
        <v>771</v>
      </c>
      <c r="C714" s="3">
        <v>50</v>
      </c>
      <c r="D714" s="2" t="s">
        <v>759</v>
      </c>
      <c r="E714" s="4">
        <v>65.038634340000002</v>
      </c>
      <c r="F714" s="4">
        <v>3.4585083779999999</v>
      </c>
      <c r="G714" s="4">
        <v>25.89338081</v>
      </c>
      <c r="H714" s="2" t="s">
        <v>28</v>
      </c>
      <c r="I714" s="4">
        <v>20.322311750000001</v>
      </c>
      <c r="J714" s="4">
        <v>72.493865839999998</v>
      </c>
      <c r="K714" s="5">
        <v>20.227937879999999</v>
      </c>
      <c r="L714" s="3">
        <v>7</v>
      </c>
      <c r="M714" s="2" t="s">
        <v>763</v>
      </c>
      <c r="N714" s="2" t="s">
        <v>18</v>
      </c>
      <c r="O714" s="4">
        <v>16.96583314704521</v>
      </c>
      <c r="P714" s="2" t="str">
        <f t="shared" si="11"/>
        <v>Superior</v>
      </c>
    </row>
    <row r="715" spans="1:16" ht="20.100000000000001" customHeight="1" x14ac:dyDescent="0.3">
      <c r="A715" s="2" t="s">
        <v>553</v>
      </c>
      <c r="B715" s="2" t="s">
        <v>768</v>
      </c>
      <c r="C715" s="3">
        <v>85</v>
      </c>
      <c r="D715" s="2" t="s">
        <v>761</v>
      </c>
      <c r="E715" s="4">
        <v>63.991170230000002</v>
      </c>
      <c r="F715" s="4">
        <v>3.2737059780000002</v>
      </c>
      <c r="G715" s="4">
        <v>42.393277099999999</v>
      </c>
      <c r="H715" s="2" t="s">
        <v>24</v>
      </c>
      <c r="I715" s="4">
        <v>38.328355729999998</v>
      </c>
      <c r="J715" s="4">
        <v>77.073778779999998</v>
      </c>
      <c r="K715" s="5">
        <v>21.30411003</v>
      </c>
      <c r="L715" s="3">
        <v>6</v>
      </c>
      <c r="M715" s="2" t="s">
        <v>764</v>
      </c>
      <c r="N715" s="2" t="s">
        <v>15</v>
      </c>
      <c r="O715" s="4">
        <v>21.074602177220285</v>
      </c>
      <c r="P715" s="2" t="str">
        <f t="shared" si="11"/>
        <v>Outstanding</v>
      </c>
    </row>
    <row r="716" spans="1:16" ht="20.100000000000001" customHeight="1" x14ac:dyDescent="0.3">
      <c r="A716" s="2" t="s">
        <v>554</v>
      </c>
      <c r="B716" s="2" t="s">
        <v>22</v>
      </c>
      <c r="C716" s="3">
        <v>75</v>
      </c>
      <c r="D716" s="2" t="s">
        <v>757</v>
      </c>
      <c r="E716" s="4">
        <v>26.756919870000001</v>
      </c>
      <c r="F716" s="4">
        <v>0.16539387899999999</v>
      </c>
      <c r="G716" s="4">
        <v>6.2392527400000004</v>
      </c>
      <c r="H716" s="2" t="s">
        <v>14</v>
      </c>
      <c r="I716" s="4">
        <v>66.790515729999996</v>
      </c>
      <c r="J716" s="4">
        <v>91.04529144</v>
      </c>
      <c r="K716" s="5">
        <v>23.12049262</v>
      </c>
      <c r="L716" s="3">
        <v>2</v>
      </c>
      <c r="M716" s="2" t="s">
        <v>762</v>
      </c>
      <c r="N716" s="2" t="s">
        <v>21</v>
      </c>
      <c r="O716" s="4">
        <v>4.8673731760296937</v>
      </c>
      <c r="P716" s="2" t="str">
        <f t="shared" si="11"/>
        <v>Acceptable</v>
      </c>
    </row>
    <row r="717" spans="1:16" ht="20.100000000000001" customHeight="1" x14ac:dyDescent="0.3">
      <c r="A717" s="2" t="s">
        <v>555</v>
      </c>
      <c r="B717" s="2" t="s">
        <v>769</v>
      </c>
      <c r="C717" s="3">
        <v>62</v>
      </c>
      <c r="D717" s="2" t="s">
        <v>757</v>
      </c>
      <c r="E717" s="4">
        <v>26.510946860000001</v>
      </c>
      <c r="F717" s="4">
        <v>3.148586774</v>
      </c>
      <c r="G717" s="4">
        <v>28.531318500000001</v>
      </c>
      <c r="H717" s="2" t="s">
        <v>24</v>
      </c>
      <c r="I717" s="4">
        <v>65.580601340000001</v>
      </c>
      <c r="J717" s="4">
        <v>76.291161979999998</v>
      </c>
      <c r="K717" s="5">
        <v>14.41868414</v>
      </c>
      <c r="L717" s="3">
        <v>0</v>
      </c>
      <c r="M717" s="2" t="s">
        <v>764</v>
      </c>
      <c r="N717" s="2" t="s">
        <v>18</v>
      </c>
      <c r="O717" s="4">
        <v>1.7604720446006548</v>
      </c>
      <c r="P717" s="2" t="str">
        <f t="shared" si="11"/>
        <v>Low</v>
      </c>
    </row>
    <row r="718" spans="1:16" ht="20.100000000000001" customHeight="1" x14ac:dyDescent="0.3">
      <c r="A718" s="2" t="s">
        <v>556</v>
      </c>
      <c r="B718" s="2" t="s">
        <v>771</v>
      </c>
      <c r="C718" s="3">
        <v>100</v>
      </c>
      <c r="D718" s="2" t="s">
        <v>761</v>
      </c>
      <c r="E718" s="4">
        <v>78.130169190000004</v>
      </c>
      <c r="F718" s="4">
        <v>3.3707680459999998</v>
      </c>
      <c r="G718" s="4">
        <v>3.9848660709999999</v>
      </c>
      <c r="H718" s="2" t="s">
        <v>14</v>
      </c>
      <c r="I718" s="4">
        <v>57.111985240000003</v>
      </c>
      <c r="J718" s="4">
        <v>66.241762890000004</v>
      </c>
      <c r="K718" s="5">
        <v>13.295608140000001</v>
      </c>
      <c r="L718" s="3">
        <v>10.634574410000001</v>
      </c>
      <c r="M718" s="2" t="s">
        <v>762</v>
      </c>
      <c r="N718" s="2" t="s">
        <v>18</v>
      </c>
      <c r="O718" s="4">
        <v>7.1331107246158068</v>
      </c>
      <c r="P718" s="2" t="str">
        <f t="shared" si="11"/>
        <v>Acceptable</v>
      </c>
    </row>
    <row r="719" spans="1:16" ht="20.100000000000001" customHeight="1" x14ac:dyDescent="0.3">
      <c r="A719" s="2" t="s">
        <v>557</v>
      </c>
      <c r="B719" s="2" t="s">
        <v>22</v>
      </c>
      <c r="C719" s="3">
        <v>85</v>
      </c>
      <c r="D719" s="2" t="s">
        <v>760</v>
      </c>
      <c r="E719" s="4">
        <v>20.093777339999999</v>
      </c>
      <c r="F719" s="4">
        <v>1.1522928610000001</v>
      </c>
      <c r="G719" s="4">
        <v>46.350998820000001</v>
      </c>
      <c r="H719" s="2" t="s">
        <v>14</v>
      </c>
      <c r="I719" s="4">
        <v>18.696751979999998</v>
      </c>
      <c r="J719" s="4">
        <v>97.364848170000002</v>
      </c>
      <c r="K719" s="5">
        <v>28.697433449999998</v>
      </c>
      <c r="L719" s="3">
        <v>3</v>
      </c>
      <c r="M719" s="2" t="s">
        <v>762</v>
      </c>
      <c r="N719" s="2" t="s">
        <v>15</v>
      </c>
      <c r="O719" s="4">
        <v>13.436283273130279</v>
      </c>
      <c r="P719" s="2" t="str">
        <f t="shared" si="11"/>
        <v>Superior</v>
      </c>
    </row>
    <row r="720" spans="1:16" ht="20.100000000000001" customHeight="1" x14ac:dyDescent="0.3">
      <c r="A720" s="2" t="s">
        <v>558</v>
      </c>
      <c r="B720" s="2" t="s">
        <v>768</v>
      </c>
      <c r="C720" s="3">
        <v>75</v>
      </c>
      <c r="D720" s="2" t="s">
        <v>758</v>
      </c>
      <c r="E720" s="4">
        <v>53.9569817</v>
      </c>
      <c r="F720" s="4">
        <v>3.7370528940000001</v>
      </c>
      <c r="G720" s="4">
        <v>17.874744589999999</v>
      </c>
      <c r="H720" s="2" t="s">
        <v>28</v>
      </c>
      <c r="I720" s="4">
        <v>89.975648750000005</v>
      </c>
      <c r="J720" s="4">
        <v>95.035770209999995</v>
      </c>
      <c r="K720" s="5">
        <v>6.8000623820000001</v>
      </c>
      <c r="L720" s="3">
        <v>2</v>
      </c>
      <c r="M720" s="2" t="s">
        <v>763</v>
      </c>
      <c r="N720" s="2" t="s">
        <v>21</v>
      </c>
      <c r="O720" s="4">
        <v>2.0477166076274762</v>
      </c>
      <c r="P720" s="2" t="str">
        <f t="shared" si="11"/>
        <v>Low</v>
      </c>
    </row>
    <row r="721" spans="1:16" ht="20.100000000000001" customHeight="1" x14ac:dyDescent="0.3">
      <c r="A721" s="2" t="s">
        <v>559</v>
      </c>
      <c r="B721" s="2" t="s">
        <v>22</v>
      </c>
      <c r="C721" s="3">
        <v>62</v>
      </c>
      <c r="D721" s="2" t="s">
        <v>760</v>
      </c>
      <c r="E721" s="4">
        <v>60.613793919999999</v>
      </c>
      <c r="F721" s="4">
        <v>3.074673422</v>
      </c>
      <c r="G721" s="4">
        <v>20.917951720000001</v>
      </c>
      <c r="H721" s="2" t="s">
        <v>24</v>
      </c>
      <c r="I721" s="4">
        <v>54.469975349999999</v>
      </c>
      <c r="J721" s="4">
        <v>78.510515299999994</v>
      </c>
      <c r="K721" s="5">
        <v>32.524628909999997</v>
      </c>
      <c r="L721" s="3">
        <v>4</v>
      </c>
      <c r="M721" s="2" t="s">
        <v>764</v>
      </c>
      <c r="N721" s="2" t="s">
        <v>15</v>
      </c>
      <c r="O721" s="4">
        <v>9.0345676723799269</v>
      </c>
      <c r="P721" s="2" t="str">
        <f t="shared" si="11"/>
        <v>Acceptable</v>
      </c>
    </row>
    <row r="722" spans="1:16" ht="20.100000000000001" customHeight="1" x14ac:dyDescent="0.3">
      <c r="A722" s="2" t="s">
        <v>560</v>
      </c>
      <c r="B722" s="2" t="s">
        <v>770</v>
      </c>
      <c r="C722" s="3">
        <v>62</v>
      </c>
      <c r="D722" s="2" t="s">
        <v>757</v>
      </c>
      <c r="E722" s="4">
        <v>65.605825080000002</v>
      </c>
      <c r="F722" s="4">
        <v>3.942321824</v>
      </c>
      <c r="G722" s="4">
        <v>7.3300862929999999</v>
      </c>
      <c r="H722" s="2" t="s">
        <v>17</v>
      </c>
      <c r="I722" s="4">
        <v>17.409983969999999</v>
      </c>
      <c r="J722" s="4">
        <v>91.296228200000002</v>
      </c>
      <c r="K722" s="5">
        <v>1.8473705520000001</v>
      </c>
      <c r="L722" s="3">
        <v>5</v>
      </c>
      <c r="M722" s="2" t="s">
        <v>764</v>
      </c>
      <c r="N722" s="2" t="s">
        <v>18</v>
      </c>
      <c r="O722" s="4">
        <v>30.053681691583542</v>
      </c>
      <c r="P722" s="2" t="str">
        <f t="shared" si="11"/>
        <v>Outstanding</v>
      </c>
    </row>
    <row r="725" spans="1:16" ht="20.100000000000001" customHeight="1" x14ac:dyDescent="0.3">
      <c r="O725" s="4"/>
    </row>
  </sheetData>
  <autoFilter ref="A1:O722" xr:uid="{59A7D672-6F62-4A01-87EE-BD13DF23439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CDDB5-9F5F-497B-8FFA-824CE160A9B8}">
  <dimension ref="B1:U36"/>
  <sheetViews>
    <sheetView tabSelected="1" zoomScale="70" zoomScaleNormal="70" workbookViewId="0">
      <selection activeCell="AA15" sqref="AA15"/>
    </sheetView>
  </sheetViews>
  <sheetFormatPr defaultRowHeight="14.4" x14ac:dyDescent="0.3"/>
  <cols>
    <col min="11" max="11" width="15.6640625" bestFit="1" customWidth="1"/>
    <col min="12" max="12" width="15.88671875" customWidth="1"/>
  </cols>
  <sheetData>
    <row r="1" spans="2:21" ht="15" thickBot="1" x14ac:dyDescent="0.35"/>
    <row r="2" spans="2:21" x14ac:dyDescent="0.3">
      <c r="B2" s="25" t="s">
        <v>787</v>
      </c>
      <c r="C2" s="26"/>
      <c r="D2" s="26"/>
      <c r="E2" s="26"/>
      <c r="F2" s="26"/>
      <c r="G2" s="26"/>
      <c r="H2" s="26"/>
      <c r="I2" s="26"/>
      <c r="J2" s="26"/>
      <c r="K2" s="26"/>
      <c r="L2" s="26"/>
      <c r="M2" s="26"/>
      <c r="N2" s="26"/>
      <c r="O2" s="26"/>
      <c r="P2" s="26"/>
      <c r="Q2" s="26"/>
      <c r="R2" s="26"/>
      <c r="S2" s="26"/>
      <c r="T2" s="26"/>
      <c r="U2" s="27"/>
    </row>
    <row r="3" spans="2:21" x14ac:dyDescent="0.3">
      <c r="B3" s="28"/>
      <c r="C3" s="29"/>
      <c r="D3" s="29"/>
      <c r="E3" s="29"/>
      <c r="F3" s="29"/>
      <c r="G3" s="29"/>
      <c r="H3" s="29"/>
      <c r="I3" s="29"/>
      <c r="J3" s="29"/>
      <c r="K3" s="29"/>
      <c r="L3" s="29"/>
      <c r="M3" s="29"/>
      <c r="N3" s="29"/>
      <c r="O3" s="29"/>
      <c r="P3" s="29"/>
      <c r="Q3" s="29"/>
      <c r="R3" s="29"/>
      <c r="S3" s="29"/>
      <c r="T3" s="29"/>
      <c r="U3" s="30"/>
    </row>
    <row r="4" spans="2:21" x14ac:dyDescent="0.3">
      <c r="B4" s="31"/>
      <c r="C4" s="32"/>
      <c r="D4" s="32"/>
      <c r="E4" s="24"/>
      <c r="F4" s="24"/>
      <c r="G4" s="24"/>
      <c r="H4" s="24"/>
      <c r="I4" s="22"/>
      <c r="J4" s="22"/>
      <c r="K4" s="22"/>
      <c r="L4" s="23"/>
      <c r="M4" s="22"/>
      <c r="N4" s="22"/>
      <c r="O4" s="22"/>
      <c r="P4" s="22"/>
      <c r="Q4" s="22"/>
      <c r="R4" s="22"/>
      <c r="S4" s="22"/>
      <c r="T4" s="22"/>
      <c r="U4" s="17"/>
    </row>
    <row r="5" spans="2:21" x14ac:dyDescent="0.3">
      <c r="B5" s="31"/>
      <c r="C5" s="32"/>
      <c r="D5" s="32"/>
      <c r="E5" s="24"/>
      <c r="F5" s="24"/>
      <c r="G5" s="24"/>
      <c r="H5" s="24"/>
      <c r="I5" s="22"/>
      <c r="J5" s="22"/>
      <c r="K5" s="22"/>
      <c r="L5" s="23"/>
      <c r="M5" s="22"/>
      <c r="N5" s="22"/>
      <c r="O5" s="22"/>
      <c r="P5" s="22"/>
      <c r="Q5" s="22"/>
      <c r="R5" s="22"/>
      <c r="S5" s="22"/>
      <c r="T5" s="22"/>
      <c r="U5" s="17"/>
    </row>
    <row r="6" spans="2:21" x14ac:dyDescent="0.3">
      <c r="B6" s="31"/>
      <c r="C6" s="32"/>
      <c r="D6" s="32"/>
      <c r="E6" s="24"/>
      <c r="F6" s="24"/>
      <c r="G6" s="24"/>
      <c r="H6" s="24"/>
      <c r="I6" s="22"/>
      <c r="J6" s="22"/>
      <c r="K6" s="22"/>
      <c r="L6" s="23"/>
      <c r="M6" s="22"/>
      <c r="N6" s="22"/>
      <c r="O6" s="22"/>
      <c r="P6" s="22"/>
      <c r="Q6" s="22"/>
      <c r="R6" s="22"/>
      <c r="S6" s="22"/>
      <c r="T6" s="22"/>
      <c r="U6" s="17"/>
    </row>
    <row r="7" spans="2:21" x14ac:dyDescent="0.3">
      <c r="B7" s="31"/>
      <c r="C7" s="32"/>
      <c r="D7" s="32"/>
      <c r="E7" s="24"/>
      <c r="F7" s="24"/>
      <c r="G7" s="24"/>
      <c r="H7" s="24"/>
      <c r="I7" s="22"/>
      <c r="J7" s="22"/>
      <c r="K7" s="22"/>
      <c r="L7" s="23"/>
      <c r="M7" s="22"/>
      <c r="N7" s="22"/>
      <c r="O7" s="22"/>
      <c r="P7" s="22"/>
      <c r="Q7" s="22"/>
      <c r="R7" s="22"/>
      <c r="S7" s="22"/>
      <c r="T7" s="22"/>
      <c r="U7" s="17"/>
    </row>
    <row r="8" spans="2:21" x14ac:dyDescent="0.3">
      <c r="B8" s="31"/>
      <c r="C8" s="32"/>
      <c r="D8" s="32"/>
      <c r="E8" s="24"/>
      <c r="F8" s="24"/>
      <c r="G8" s="24"/>
      <c r="H8" s="24"/>
      <c r="I8" s="22"/>
      <c r="J8" s="22"/>
      <c r="K8" s="22"/>
      <c r="L8" s="23"/>
      <c r="M8" s="22"/>
      <c r="N8" s="22"/>
      <c r="O8" s="22"/>
      <c r="P8" s="22"/>
      <c r="Q8" s="22"/>
      <c r="R8" s="22"/>
      <c r="S8" s="22"/>
      <c r="T8" s="22"/>
      <c r="U8" s="17"/>
    </row>
    <row r="9" spans="2:21" x14ac:dyDescent="0.3">
      <c r="B9" s="31"/>
      <c r="C9" s="32"/>
      <c r="D9" s="32"/>
      <c r="E9" s="24"/>
      <c r="F9" s="24"/>
      <c r="G9" s="24"/>
      <c r="H9" s="24"/>
      <c r="I9" s="22"/>
      <c r="J9" s="22"/>
      <c r="K9" s="22"/>
      <c r="L9" s="23"/>
      <c r="M9" s="22"/>
      <c r="N9" s="22"/>
      <c r="O9" s="22"/>
      <c r="P9" s="22"/>
      <c r="Q9" s="22"/>
      <c r="R9" s="22"/>
      <c r="S9" s="22"/>
      <c r="T9" s="22"/>
      <c r="U9" s="17"/>
    </row>
    <row r="10" spans="2:21" x14ac:dyDescent="0.3">
      <c r="B10" s="31"/>
      <c r="C10" s="32"/>
      <c r="D10" s="32"/>
      <c r="E10" s="24"/>
      <c r="F10" s="24"/>
      <c r="G10" s="24"/>
      <c r="H10" s="24"/>
      <c r="I10" s="22"/>
      <c r="J10" s="22"/>
      <c r="K10" s="22"/>
      <c r="L10" s="23"/>
      <c r="M10" s="22"/>
      <c r="N10" s="22"/>
      <c r="O10" s="22"/>
      <c r="P10" s="22"/>
      <c r="Q10" s="22"/>
      <c r="R10" s="22"/>
      <c r="S10" s="22"/>
      <c r="T10" s="22"/>
      <c r="U10" s="17"/>
    </row>
    <row r="11" spans="2:21" x14ac:dyDescent="0.3">
      <c r="B11" s="31"/>
      <c r="C11" s="32"/>
      <c r="D11" s="32"/>
      <c r="E11" s="24"/>
      <c r="F11" s="24"/>
      <c r="G11" s="24"/>
      <c r="H11" s="24"/>
      <c r="I11" s="22"/>
      <c r="J11" s="22"/>
      <c r="K11" s="22"/>
      <c r="L11" s="23"/>
      <c r="M11" s="22"/>
      <c r="N11" s="22"/>
      <c r="O11" s="22"/>
      <c r="P11" s="22"/>
      <c r="Q11" s="22"/>
      <c r="R11" s="22"/>
      <c r="S11" s="22"/>
      <c r="T11" s="22"/>
      <c r="U11" s="17"/>
    </row>
    <row r="12" spans="2:21" x14ac:dyDescent="0.3">
      <c r="B12" s="31"/>
      <c r="C12" s="32"/>
      <c r="D12" s="32"/>
      <c r="E12" s="24"/>
      <c r="F12" s="24"/>
      <c r="G12" s="24"/>
      <c r="H12" s="24"/>
      <c r="I12" s="22"/>
      <c r="J12" s="22"/>
      <c r="K12" s="22"/>
      <c r="L12" s="23"/>
      <c r="M12" s="22"/>
      <c r="N12" s="22"/>
      <c r="O12" s="22"/>
      <c r="P12" s="22"/>
      <c r="Q12" s="22"/>
      <c r="R12" s="22"/>
      <c r="S12" s="22"/>
      <c r="T12" s="22"/>
      <c r="U12" s="17"/>
    </row>
    <row r="13" spans="2:21" x14ac:dyDescent="0.3">
      <c r="B13" s="31"/>
      <c r="C13" s="32"/>
      <c r="D13" s="32"/>
      <c r="E13" s="24"/>
      <c r="F13" s="24"/>
      <c r="G13" s="24"/>
      <c r="H13" s="24"/>
      <c r="I13" s="22"/>
      <c r="J13" s="22"/>
      <c r="K13" s="22"/>
      <c r="L13" s="23"/>
      <c r="M13" s="22"/>
      <c r="N13" s="22"/>
      <c r="O13" s="22"/>
      <c r="P13" s="22"/>
      <c r="Q13" s="22"/>
      <c r="R13" s="22"/>
      <c r="S13" s="22"/>
      <c r="T13" s="22"/>
      <c r="U13" s="17"/>
    </row>
    <row r="14" spans="2:21" x14ac:dyDescent="0.3">
      <c r="B14" s="31"/>
      <c r="C14" s="32"/>
      <c r="D14" s="32"/>
      <c r="E14" s="24"/>
      <c r="F14" s="24"/>
      <c r="G14" s="24"/>
      <c r="H14" s="24"/>
      <c r="I14" s="22"/>
      <c r="J14" s="22"/>
      <c r="K14" s="22"/>
      <c r="L14" s="23"/>
      <c r="M14" s="22"/>
      <c r="N14" s="22"/>
      <c r="O14" s="22"/>
      <c r="P14" s="22"/>
      <c r="Q14" s="22"/>
      <c r="R14" s="22"/>
      <c r="S14" s="22"/>
      <c r="T14" s="22"/>
      <c r="U14" s="17"/>
    </row>
    <row r="15" spans="2:21" x14ac:dyDescent="0.3">
      <c r="B15" s="31"/>
      <c r="C15" s="32"/>
      <c r="D15" s="32"/>
      <c r="E15" s="24"/>
      <c r="F15" s="24"/>
      <c r="G15" s="24"/>
      <c r="H15" s="24"/>
      <c r="I15" s="22"/>
      <c r="J15" s="22"/>
      <c r="K15" s="22"/>
      <c r="L15" s="23"/>
      <c r="M15" s="22"/>
      <c r="N15" s="22"/>
      <c r="O15" s="22"/>
      <c r="P15" s="22"/>
      <c r="Q15" s="22"/>
      <c r="R15" s="22"/>
      <c r="S15" s="22"/>
      <c r="T15" s="22"/>
      <c r="U15" s="17"/>
    </row>
    <row r="16" spans="2:21" x14ac:dyDescent="0.3">
      <c r="B16" s="31"/>
      <c r="C16" s="32"/>
      <c r="D16" s="32"/>
      <c r="E16" s="24"/>
      <c r="F16" s="24"/>
      <c r="G16" s="24"/>
      <c r="H16" s="24"/>
      <c r="I16" s="22"/>
      <c r="J16" s="22"/>
      <c r="K16" s="22"/>
      <c r="L16" s="23"/>
      <c r="M16" s="22"/>
      <c r="N16" s="22"/>
      <c r="O16" s="22"/>
      <c r="P16" s="22"/>
      <c r="Q16" s="22"/>
      <c r="R16" s="22"/>
      <c r="S16" s="22"/>
      <c r="T16" s="22"/>
      <c r="U16" s="17"/>
    </row>
    <row r="17" spans="2:21" x14ac:dyDescent="0.3">
      <c r="B17" s="31"/>
      <c r="C17" s="32"/>
      <c r="D17" s="32"/>
      <c r="E17" s="24"/>
      <c r="F17" s="24"/>
      <c r="G17" s="24"/>
      <c r="H17" s="24"/>
      <c r="I17" s="22"/>
      <c r="J17" s="22"/>
      <c r="K17" s="22"/>
      <c r="L17" s="23"/>
      <c r="M17" s="22"/>
      <c r="N17" s="22"/>
      <c r="O17" s="22"/>
      <c r="P17" s="22"/>
      <c r="Q17" s="22"/>
      <c r="R17" s="22"/>
      <c r="S17" s="22"/>
      <c r="T17" s="22"/>
      <c r="U17" s="17"/>
    </row>
    <row r="18" spans="2:21" x14ac:dyDescent="0.3">
      <c r="B18" s="31"/>
      <c r="C18" s="32"/>
      <c r="D18" s="32"/>
      <c r="E18" s="24"/>
      <c r="F18" s="24"/>
      <c r="G18" s="24"/>
      <c r="H18" s="24"/>
      <c r="I18" s="22"/>
      <c r="J18" s="22"/>
      <c r="K18" s="22"/>
      <c r="L18" s="23"/>
      <c r="M18" s="22"/>
      <c r="N18" s="22"/>
      <c r="O18" s="22"/>
      <c r="P18" s="22"/>
      <c r="Q18" s="22"/>
      <c r="R18" s="22"/>
      <c r="S18" s="22"/>
      <c r="T18" s="22"/>
      <c r="U18" s="17"/>
    </row>
    <row r="19" spans="2:21" x14ac:dyDescent="0.3">
      <c r="B19" s="31"/>
      <c r="C19" s="32"/>
      <c r="D19" s="32"/>
      <c r="F19" s="22"/>
      <c r="G19" s="22"/>
      <c r="H19" s="22"/>
      <c r="I19" s="22"/>
      <c r="J19" s="22"/>
      <c r="K19" s="22"/>
      <c r="L19" s="23"/>
      <c r="M19" s="22"/>
      <c r="N19" s="22"/>
      <c r="O19" s="22"/>
      <c r="P19" s="22"/>
      <c r="Q19" s="22"/>
      <c r="R19" s="22"/>
      <c r="S19" s="22"/>
      <c r="T19" s="22"/>
      <c r="U19" s="17"/>
    </row>
    <row r="20" spans="2:21" x14ac:dyDescent="0.3">
      <c r="B20" s="31"/>
      <c r="C20" s="32"/>
      <c r="D20" s="32"/>
      <c r="E20" s="23"/>
      <c r="F20" s="23"/>
      <c r="G20" s="23"/>
      <c r="H20" s="23"/>
      <c r="I20" s="23"/>
      <c r="J20" s="23"/>
      <c r="K20" s="23"/>
      <c r="L20" s="23"/>
      <c r="M20" s="23"/>
      <c r="N20" s="23"/>
      <c r="O20" s="23"/>
      <c r="P20" s="23"/>
      <c r="Q20" s="23"/>
      <c r="R20" s="23"/>
      <c r="S20" s="23"/>
      <c r="T20" s="23"/>
      <c r="U20" s="21"/>
    </row>
    <row r="21" spans="2:21" x14ac:dyDescent="0.3">
      <c r="B21" s="31"/>
      <c r="C21" s="32"/>
      <c r="D21" s="32"/>
      <c r="E21" s="22"/>
      <c r="F21" s="22"/>
      <c r="G21" s="22"/>
      <c r="H21" s="22"/>
      <c r="I21" s="22"/>
      <c r="J21" s="22"/>
      <c r="K21" s="22"/>
      <c r="L21" s="23"/>
      <c r="M21" s="22"/>
      <c r="N21" s="22"/>
      <c r="O21" s="22"/>
      <c r="P21" s="22"/>
      <c r="Q21" s="22"/>
      <c r="R21" s="22"/>
      <c r="S21" s="22"/>
      <c r="T21" s="22"/>
      <c r="U21" s="17"/>
    </row>
    <row r="22" spans="2:21" x14ac:dyDescent="0.3">
      <c r="B22" s="31"/>
      <c r="C22" s="32"/>
      <c r="D22" s="32"/>
      <c r="E22" s="22"/>
      <c r="F22" s="22"/>
      <c r="G22" s="22"/>
      <c r="H22" s="22"/>
      <c r="I22" s="22"/>
      <c r="J22" s="22"/>
      <c r="K22" s="22"/>
      <c r="L22" s="23"/>
      <c r="M22" s="22"/>
      <c r="N22" s="22"/>
      <c r="O22" s="22"/>
      <c r="P22" s="22"/>
      <c r="Q22" s="22"/>
      <c r="R22" s="22"/>
      <c r="S22" s="22"/>
      <c r="T22" s="22"/>
      <c r="U22" s="17"/>
    </row>
    <row r="23" spans="2:21" x14ac:dyDescent="0.3">
      <c r="B23" s="31"/>
      <c r="C23" s="32"/>
      <c r="D23" s="32"/>
      <c r="E23" s="22"/>
      <c r="F23" s="22"/>
      <c r="G23" s="22"/>
      <c r="H23" s="22"/>
      <c r="I23" s="22"/>
      <c r="J23" s="22"/>
      <c r="K23" s="22"/>
      <c r="L23" s="23"/>
      <c r="M23" s="22"/>
      <c r="N23" s="22"/>
      <c r="O23" s="22"/>
      <c r="P23" s="22"/>
      <c r="Q23" s="22"/>
      <c r="R23" s="22"/>
      <c r="S23" s="22"/>
      <c r="T23" s="22"/>
      <c r="U23" s="17"/>
    </row>
    <row r="24" spans="2:21" x14ac:dyDescent="0.3">
      <c r="B24" s="31"/>
      <c r="C24" s="32"/>
      <c r="D24" s="32"/>
      <c r="E24" s="22"/>
      <c r="F24" s="22"/>
      <c r="G24" s="22"/>
      <c r="H24" s="22"/>
      <c r="I24" s="22"/>
      <c r="J24" s="22"/>
      <c r="K24" s="22"/>
      <c r="L24" s="23"/>
      <c r="M24" s="22"/>
      <c r="N24" s="22"/>
      <c r="O24" s="22"/>
      <c r="P24" s="22"/>
      <c r="Q24" s="22"/>
      <c r="R24" s="22"/>
      <c r="S24" s="22"/>
      <c r="T24" s="22"/>
      <c r="U24" s="17"/>
    </row>
    <row r="25" spans="2:21" x14ac:dyDescent="0.3">
      <c r="B25" s="31"/>
      <c r="C25" s="32"/>
      <c r="D25" s="32"/>
      <c r="E25" s="22"/>
      <c r="F25" s="22"/>
      <c r="G25" s="22"/>
      <c r="H25" s="22"/>
      <c r="I25" s="22"/>
      <c r="J25" s="22"/>
      <c r="K25" s="22"/>
      <c r="L25" s="23"/>
      <c r="M25" s="22"/>
      <c r="N25" s="22"/>
      <c r="O25" s="22"/>
      <c r="P25" s="22"/>
      <c r="Q25" s="22"/>
      <c r="R25" s="22"/>
      <c r="S25" s="22"/>
      <c r="T25" s="22"/>
      <c r="U25" s="17"/>
    </row>
    <row r="26" spans="2:21" x14ac:dyDescent="0.3">
      <c r="B26" s="31"/>
      <c r="C26" s="32"/>
      <c r="D26" s="32"/>
      <c r="E26" s="22"/>
      <c r="F26" s="22"/>
      <c r="G26" s="22"/>
      <c r="H26" s="22"/>
      <c r="I26" s="22"/>
      <c r="J26" s="22"/>
      <c r="K26" s="22"/>
      <c r="L26" s="23"/>
      <c r="M26" s="22"/>
      <c r="N26" s="22"/>
      <c r="O26" s="22"/>
      <c r="P26" s="22"/>
      <c r="Q26" s="22"/>
      <c r="R26" s="22"/>
      <c r="S26" s="22"/>
      <c r="T26" s="22"/>
      <c r="U26" s="17"/>
    </row>
    <row r="27" spans="2:21" x14ac:dyDescent="0.3">
      <c r="B27" s="31"/>
      <c r="C27" s="32"/>
      <c r="D27" s="32"/>
      <c r="E27" s="22"/>
      <c r="F27" s="22"/>
      <c r="G27" s="22"/>
      <c r="H27" s="22"/>
      <c r="I27" s="22"/>
      <c r="J27" s="22"/>
      <c r="K27" s="22"/>
      <c r="L27" s="23"/>
      <c r="M27" s="22"/>
      <c r="N27" s="22"/>
      <c r="O27" s="22"/>
      <c r="P27" s="22"/>
      <c r="Q27" s="22"/>
      <c r="R27" s="22"/>
      <c r="S27" s="22"/>
      <c r="T27" s="22"/>
      <c r="U27" s="17"/>
    </row>
    <row r="28" spans="2:21" x14ac:dyDescent="0.3">
      <c r="B28" s="31"/>
      <c r="C28" s="32"/>
      <c r="D28" s="32"/>
      <c r="E28" s="22"/>
      <c r="F28" s="22"/>
      <c r="G28" s="22"/>
      <c r="H28" s="22"/>
      <c r="I28" s="22"/>
      <c r="J28" s="22"/>
      <c r="K28" s="22"/>
      <c r="L28" s="23"/>
      <c r="M28" s="22"/>
      <c r="N28" s="22"/>
      <c r="O28" s="22"/>
      <c r="P28" s="22"/>
      <c r="Q28" s="22"/>
      <c r="R28" s="22"/>
      <c r="S28" s="22"/>
      <c r="T28" s="22"/>
      <c r="U28" s="17"/>
    </row>
    <row r="29" spans="2:21" x14ac:dyDescent="0.3">
      <c r="B29" s="31"/>
      <c r="C29" s="32"/>
      <c r="D29" s="32"/>
      <c r="E29" s="22"/>
      <c r="F29" s="22"/>
      <c r="G29" s="22"/>
      <c r="H29" s="22"/>
      <c r="I29" s="22"/>
      <c r="J29" s="22"/>
      <c r="K29" s="22"/>
      <c r="L29" s="23"/>
      <c r="M29" s="22"/>
      <c r="N29" s="22"/>
      <c r="O29" s="22"/>
      <c r="P29" s="22"/>
      <c r="Q29" s="22"/>
      <c r="R29" s="22"/>
      <c r="S29" s="22"/>
      <c r="T29" s="22"/>
      <c r="U29" s="17"/>
    </row>
    <row r="30" spans="2:21" x14ac:dyDescent="0.3">
      <c r="B30" s="31"/>
      <c r="C30" s="32"/>
      <c r="D30" s="32"/>
      <c r="E30" s="22"/>
      <c r="F30" s="22"/>
      <c r="G30" s="22"/>
      <c r="H30" s="22"/>
      <c r="I30" s="22"/>
      <c r="J30" s="22"/>
      <c r="K30" s="22"/>
      <c r="L30" s="23"/>
      <c r="M30" s="22"/>
      <c r="N30" s="22"/>
      <c r="O30" s="22"/>
      <c r="P30" s="22"/>
      <c r="Q30" s="22"/>
      <c r="R30" s="22"/>
      <c r="S30" s="22"/>
      <c r="T30" s="22"/>
      <c r="U30" s="17"/>
    </row>
    <row r="31" spans="2:21" x14ac:dyDescent="0.3">
      <c r="B31" s="31"/>
      <c r="C31" s="32"/>
      <c r="D31" s="32"/>
      <c r="E31" s="22"/>
      <c r="F31" s="22"/>
      <c r="G31" s="22"/>
      <c r="H31" s="22"/>
      <c r="I31" s="22"/>
      <c r="J31" s="22"/>
      <c r="K31" s="22"/>
      <c r="L31" s="23"/>
      <c r="M31" s="22"/>
      <c r="N31" s="22"/>
      <c r="O31" s="22"/>
      <c r="P31" s="22"/>
      <c r="Q31" s="22"/>
      <c r="R31" s="22"/>
      <c r="S31" s="22"/>
      <c r="T31" s="22"/>
      <c r="U31" s="17"/>
    </row>
    <row r="32" spans="2:21" x14ac:dyDescent="0.3">
      <c r="B32" s="31"/>
      <c r="C32" s="32"/>
      <c r="D32" s="32"/>
      <c r="E32" s="22"/>
      <c r="F32" s="22"/>
      <c r="G32" s="22"/>
      <c r="H32" s="22"/>
      <c r="I32" s="22"/>
      <c r="J32" s="22"/>
      <c r="K32" s="22"/>
      <c r="L32" s="23"/>
      <c r="M32" s="22"/>
      <c r="N32" s="22"/>
      <c r="O32" s="22"/>
      <c r="P32" s="22"/>
      <c r="Q32" s="22"/>
      <c r="R32" s="22"/>
      <c r="S32" s="22"/>
      <c r="T32" s="22"/>
      <c r="U32" s="17"/>
    </row>
    <row r="33" spans="2:21" x14ac:dyDescent="0.3">
      <c r="B33" s="31"/>
      <c r="C33" s="32"/>
      <c r="D33" s="32"/>
      <c r="E33" s="22"/>
      <c r="F33" s="22"/>
      <c r="G33" s="22"/>
      <c r="H33" s="22"/>
      <c r="I33" s="22"/>
      <c r="J33" s="22"/>
      <c r="K33" s="22"/>
      <c r="L33" s="23"/>
      <c r="M33" s="22"/>
      <c r="N33" s="22"/>
      <c r="O33" s="22"/>
      <c r="P33" s="22"/>
      <c r="Q33" s="22"/>
      <c r="R33" s="22"/>
      <c r="S33" s="22"/>
      <c r="T33" s="22"/>
      <c r="U33" s="17"/>
    </row>
    <row r="34" spans="2:21" x14ac:dyDescent="0.3">
      <c r="B34" s="31"/>
      <c r="C34" s="32"/>
      <c r="D34" s="32"/>
      <c r="E34" s="22"/>
      <c r="F34" s="22"/>
      <c r="G34" s="22"/>
      <c r="H34" s="22"/>
      <c r="I34" s="22"/>
      <c r="J34" s="22"/>
      <c r="K34" s="22"/>
      <c r="L34" s="23"/>
      <c r="M34" s="22"/>
      <c r="N34" s="22"/>
      <c r="O34" s="22"/>
      <c r="P34" s="22"/>
      <c r="Q34" s="22"/>
      <c r="R34" s="22"/>
      <c r="S34" s="22"/>
      <c r="T34" s="22"/>
      <c r="U34" s="17"/>
    </row>
    <row r="35" spans="2:21" x14ac:dyDescent="0.3">
      <c r="B35" s="31"/>
      <c r="C35" s="32"/>
      <c r="D35" s="32"/>
      <c r="E35" s="22"/>
      <c r="F35" s="22"/>
      <c r="G35" s="22"/>
      <c r="H35" s="22"/>
      <c r="I35" s="22"/>
      <c r="J35" s="22"/>
      <c r="K35" s="22"/>
      <c r="L35" s="23"/>
      <c r="M35" s="22"/>
      <c r="N35" s="22"/>
      <c r="O35" s="22"/>
      <c r="P35" s="22"/>
      <c r="Q35" s="22"/>
      <c r="R35" s="22"/>
      <c r="S35" s="22"/>
      <c r="T35" s="22"/>
      <c r="U35" s="17"/>
    </row>
    <row r="36" spans="2:21" ht="15" thickBot="1" x14ac:dyDescent="0.35">
      <c r="B36" s="33"/>
      <c r="C36" s="34"/>
      <c r="D36" s="34"/>
      <c r="E36" s="18"/>
      <c r="F36" s="18"/>
      <c r="G36" s="18"/>
      <c r="H36" s="18"/>
      <c r="I36" s="18"/>
      <c r="J36" s="18"/>
      <c r="K36" s="18"/>
      <c r="L36" s="20"/>
      <c r="M36" s="18"/>
      <c r="N36" s="18"/>
      <c r="O36" s="18"/>
      <c r="P36" s="18"/>
      <c r="Q36" s="18"/>
      <c r="R36" s="18"/>
      <c r="S36" s="18"/>
      <c r="T36" s="18"/>
      <c r="U36" s="19"/>
    </row>
  </sheetData>
  <mergeCells count="32">
    <mergeCell ref="E10:F10"/>
    <mergeCell ref="G10:H10"/>
    <mergeCell ref="B2:U3"/>
    <mergeCell ref="B4:D36"/>
    <mergeCell ref="E4:F4"/>
    <mergeCell ref="G4:H4"/>
    <mergeCell ref="E5:F5"/>
    <mergeCell ref="G5:H5"/>
    <mergeCell ref="E6:F6"/>
    <mergeCell ref="G6:H6"/>
    <mergeCell ref="E7:F7"/>
    <mergeCell ref="G7:H7"/>
    <mergeCell ref="E8:F8"/>
    <mergeCell ref="G8:H8"/>
    <mergeCell ref="E9:F9"/>
    <mergeCell ref="G9:H9"/>
    <mergeCell ref="E11:F11"/>
    <mergeCell ref="G11:H11"/>
    <mergeCell ref="E12:F12"/>
    <mergeCell ref="G12:H12"/>
    <mergeCell ref="E13:F13"/>
    <mergeCell ref="G13:H13"/>
    <mergeCell ref="E17:F17"/>
    <mergeCell ref="G17:H17"/>
    <mergeCell ref="E18:F18"/>
    <mergeCell ref="G18:H18"/>
    <mergeCell ref="E14:F14"/>
    <mergeCell ref="G14:H14"/>
    <mergeCell ref="E15:F15"/>
    <mergeCell ref="G15:H15"/>
    <mergeCell ref="E16:F16"/>
    <mergeCell ref="G16:H1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AAB58-397C-45D9-80EA-CA5A331AAA6A}">
  <dimension ref="A1:B5"/>
  <sheetViews>
    <sheetView workbookViewId="0">
      <selection activeCell="B9" sqref="B9"/>
    </sheetView>
  </sheetViews>
  <sheetFormatPr defaultRowHeight="14.4" x14ac:dyDescent="0.3"/>
  <cols>
    <col min="1" max="1" width="19.5546875" bestFit="1" customWidth="1"/>
    <col min="2" max="2" width="14.109375" bestFit="1" customWidth="1"/>
  </cols>
  <sheetData>
    <row r="1" spans="1:2" x14ac:dyDescent="0.3">
      <c r="A1" s="14" t="s">
        <v>776</v>
      </c>
      <c r="B1" t="s">
        <v>778</v>
      </c>
    </row>
    <row r="2" spans="1:2" x14ac:dyDescent="0.3">
      <c r="A2" s="15" t="s">
        <v>18</v>
      </c>
      <c r="B2">
        <v>246</v>
      </c>
    </row>
    <row r="3" spans="1:2" x14ac:dyDescent="0.3">
      <c r="A3" s="15" t="s">
        <v>15</v>
      </c>
      <c r="B3">
        <v>260</v>
      </c>
    </row>
    <row r="4" spans="1:2" x14ac:dyDescent="0.3">
      <c r="A4" s="15" t="s">
        <v>21</v>
      </c>
      <c r="B4">
        <v>215</v>
      </c>
    </row>
    <row r="5" spans="1:2" x14ac:dyDescent="0.3">
      <c r="A5" s="15" t="s">
        <v>777</v>
      </c>
      <c r="B5">
        <v>721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1935B-E285-41D6-8313-DAB0E279648D}">
  <dimension ref="A3:F8"/>
  <sheetViews>
    <sheetView workbookViewId="0">
      <selection activeCell="O2" sqref="O2"/>
    </sheetView>
  </sheetViews>
  <sheetFormatPr defaultRowHeight="14.4" x14ac:dyDescent="0.3"/>
  <cols>
    <col min="1" max="1" width="14.109375" bestFit="1" customWidth="1"/>
    <col min="2" max="2" width="15.5546875" bestFit="1" customWidth="1"/>
    <col min="3" max="3" width="4.21875" bestFit="1" customWidth="1"/>
    <col min="4" max="4" width="11.109375" bestFit="1" customWidth="1"/>
    <col min="5" max="5" width="8.109375" bestFit="1" customWidth="1"/>
    <col min="6" max="6" width="10.5546875" bestFit="1" customWidth="1"/>
  </cols>
  <sheetData>
    <row r="3" spans="1:6" x14ac:dyDescent="0.3">
      <c r="A3" s="14" t="s">
        <v>778</v>
      </c>
      <c r="B3" s="14" t="s">
        <v>783</v>
      </c>
    </row>
    <row r="4" spans="1:6" x14ac:dyDescent="0.3">
      <c r="A4" s="14" t="s">
        <v>776</v>
      </c>
      <c r="B4" t="s">
        <v>779</v>
      </c>
      <c r="C4" t="s">
        <v>780</v>
      </c>
      <c r="D4" t="s">
        <v>781</v>
      </c>
      <c r="E4" t="s">
        <v>782</v>
      </c>
      <c r="F4" t="s">
        <v>777</v>
      </c>
    </row>
    <row r="5" spans="1:6" x14ac:dyDescent="0.3">
      <c r="A5" s="15" t="s">
        <v>764</v>
      </c>
      <c r="B5">
        <v>83</v>
      </c>
      <c r="C5">
        <v>44</v>
      </c>
      <c r="D5">
        <v>50</v>
      </c>
      <c r="E5">
        <v>55</v>
      </c>
      <c r="F5">
        <v>232</v>
      </c>
    </row>
    <row r="6" spans="1:6" x14ac:dyDescent="0.3">
      <c r="A6" s="15" t="s">
        <v>763</v>
      </c>
      <c r="B6">
        <v>77</v>
      </c>
      <c r="C6">
        <v>57</v>
      </c>
      <c r="D6">
        <v>45</v>
      </c>
      <c r="E6">
        <v>62</v>
      </c>
      <c r="F6">
        <v>241</v>
      </c>
    </row>
    <row r="7" spans="1:6" x14ac:dyDescent="0.3">
      <c r="A7" s="15" t="s">
        <v>762</v>
      </c>
      <c r="B7">
        <v>71</v>
      </c>
      <c r="C7">
        <v>64</v>
      </c>
      <c r="D7">
        <v>54</v>
      </c>
      <c r="E7">
        <v>59</v>
      </c>
      <c r="F7">
        <v>248</v>
      </c>
    </row>
    <row r="8" spans="1:6" x14ac:dyDescent="0.3">
      <c r="A8" s="15" t="s">
        <v>777</v>
      </c>
      <c r="B8">
        <v>231</v>
      </c>
      <c r="C8">
        <v>165</v>
      </c>
      <c r="D8">
        <v>149</v>
      </c>
      <c r="E8">
        <v>176</v>
      </c>
      <c r="F8">
        <v>721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9F071-C89D-4A73-88B3-E7B128F26445}">
  <dimension ref="A1:B6"/>
  <sheetViews>
    <sheetView workbookViewId="0">
      <selection activeCell="L22" sqref="L22"/>
    </sheetView>
  </sheetViews>
  <sheetFormatPr defaultRowHeight="14.4" x14ac:dyDescent="0.3"/>
  <cols>
    <col min="1" max="1" width="12.44140625" bestFit="1" customWidth="1"/>
    <col min="2" max="2" width="25.88671875" bestFit="1" customWidth="1"/>
  </cols>
  <sheetData>
    <row r="1" spans="1:2" x14ac:dyDescent="0.3">
      <c r="A1" s="14" t="s">
        <v>776</v>
      </c>
      <c r="B1" t="s">
        <v>784</v>
      </c>
    </row>
    <row r="2" spans="1:2" x14ac:dyDescent="0.3">
      <c r="A2" s="15" t="s">
        <v>24</v>
      </c>
      <c r="B2" s="16">
        <v>10.539369232725651</v>
      </c>
    </row>
    <row r="3" spans="1:2" x14ac:dyDescent="0.3">
      <c r="A3" s="15" t="s">
        <v>14</v>
      </c>
      <c r="B3" s="16">
        <v>12.960808925385985</v>
      </c>
    </row>
    <row r="4" spans="1:2" x14ac:dyDescent="0.3">
      <c r="A4" s="15" t="s">
        <v>17</v>
      </c>
      <c r="B4" s="16">
        <v>11.67753255109514</v>
      </c>
    </row>
    <row r="5" spans="1:2" x14ac:dyDescent="0.3">
      <c r="A5" s="15" t="s">
        <v>28</v>
      </c>
      <c r="B5" s="16">
        <v>12.503286205755138</v>
      </c>
    </row>
    <row r="6" spans="1:2" x14ac:dyDescent="0.3">
      <c r="A6" s="15" t="s">
        <v>777</v>
      </c>
      <c r="B6" s="16">
        <v>11.964671566650475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3011D-E73A-4B2E-9BFE-259008A1DF0F}">
  <dimension ref="A1:B7"/>
  <sheetViews>
    <sheetView workbookViewId="0">
      <selection sqref="A1:B7"/>
    </sheetView>
  </sheetViews>
  <sheetFormatPr defaultRowHeight="14.4" x14ac:dyDescent="0.3"/>
  <cols>
    <col min="1" max="1" width="14.88671875" bestFit="1" customWidth="1"/>
    <col min="2" max="2" width="31.21875" bestFit="1" customWidth="1"/>
  </cols>
  <sheetData>
    <row r="1" spans="1:2" x14ac:dyDescent="0.3">
      <c r="A1" s="14" t="s">
        <v>776</v>
      </c>
      <c r="B1" t="s">
        <v>785</v>
      </c>
    </row>
    <row r="2" spans="1:2" x14ac:dyDescent="0.3">
      <c r="A2" s="15" t="s">
        <v>768</v>
      </c>
      <c r="B2" s="16">
        <v>2.1276150955182485</v>
      </c>
    </row>
    <row r="3" spans="1:2" x14ac:dyDescent="0.3">
      <c r="A3" s="15" t="s">
        <v>771</v>
      </c>
      <c r="B3" s="16">
        <v>2.4926570369782612</v>
      </c>
    </row>
    <row r="4" spans="1:2" x14ac:dyDescent="0.3">
      <c r="A4" s="15" t="s">
        <v>769</v>
      </c>
      <c r="B4" s="16">
        <v>2.2958086087241374</v>
      </c>
    </row>
    <row r="5" spans="1:2" x14ac:dyDescent="0.3">
      <c r="A5" s="15" t="s">
        <v>22</v>
      </c>
      <c r="B5" s="16">
        <v>2.1918732080068497</v>
      </c>
    </row>
    <row r="6" spans="1:2" x14ac:dyDescent="0.3">
      <c r="A6" s="15" t="s">
        <v>770</v>
      </c>
      <c r="B6" s="16">
        <v>2.3086825874258055</v>
      </c>
    </row>
    <row r="7" spans="1:2" x14ac:dyDescent="0.3">
      <c r="A7" s="15" t="s">
        <v>777</v>
      </c>
      <c r="B7" s="16">
        <v>2.2832475407406374</v>
      </c>
    </row>
  </sheetData>
  <conditionalFormatting pivot="1" sqref="B2:B6">
    <cfRule type="dataBar" priority="1">
      <dataBar>
        <cfvo type="min"/>
        <cfvo type="max"/>
        <color rgb="FF638EC6"/>
      </dataBar>
      <extLst>
        <ext xmlns:x14="http://schemas.microsoft.com/office/spreadsheetml/2009/9/main" uri="{B025F937-C7B1-47D3-B67F-A62EFF666E3E}">
          <x14:id>{2C083C6F-ED74-40A4-B1B9-877CE82F4E3B}</x14:id>
        </ext>
      </extLst>
    </cfRule>
  </conditionalFormatting>
  <pageMargins left="0.7" right="0.7" top="0.75" bottom="0.75" header="0.3" footer="0.3"/>
  <pageSetup orientation="portrait" r:id="rId2"/>
  <drawing r:id="rId3"/>
  <extLst>
    <ext xmlns:x14="http://schemas.microsoft.com/office/spreadsheetml/2009/9/main" uri="{78C0D931-6437-407d-A8EE-F0AAD7539E65}">
      <x14:conditionalFormattings>
        <x14:conditionalFormatting xmlns:xm="http://schemas.microsoft.com/office/excel/2006/main" pivot="1">
          <x14:cfRule type="dataBar" id="{2C083C6F-ED74-40A4-B1B9-877CE82F4E3B}">
            <x14:dataBar minLength="0" maxLength="100" gradient="0">
              <x14:cfvo type="autoMin"/>
              <x14:cfvo type="autoMax"/>
              <x14:negativeFillColor rgb="FFFF0000"/>
              <x14:axisColor rgb="FF000000"/>
            </x14:dataBar>
          </x14:cfRule>
          <xm:sqref>B2:B6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33650-0E3C-437B-B806-61C3ACC6C81A}">
  <dimension ref="A1:B7"/>
  <sheetViews>
    <sheetView workbookViewId="0">
      <selection sqref="A1:B7"/>
    </sheetView>
  </sheetViews>
  <sheetFormatPr defaultRowHeight="14.4" x14ac:dyDescent="0.3"/>
  <cols>
    <col min="1" max="1" width="12.44140625" bestFit="1" customWidth="1"/>
    <col min="2" max="2" width="30.33203125" bestFit="1" customWidth="1"/>
  </cols>
  <sheetData>
    <row r="1" spans="1:2" x14ac:dyDescent="0.3">
      <c r="A1" s="14" t="s">
        <v>776</v>
      </c>
      <c r="B1" t="s">
        <v>786</v>
      </c>
    </row>
    <row r="2" spans="1:2" x14ac:dyDescent="0.3">
      <c r="A2" s="15" t="s">
        <v>758</v>
      </c>
      <c r="B2" s="16">
        <v>45.797797311219867</v>
      </c>
    </row>
    <row r="3" spans="1:2" x14ac:dyDescent="0.3">
      <c r="A3" s="15" t="s">
        <v>759</v>
      </c>
      <c r="B3" s="16">
        <v>42.822714475108114</v>
      </c>
    </row>
    <row r="4" spans="1:2" x14ac:dyDescent="0.3">
      <c r="A4" s="15" t="s">
        <v>760</v>
      </c>
      <c r="B4" s="16">
        <v>42.869779417338023</v>
      </c>
    </row>
    <row r="5" spans="1:2" x14ac:dyDescent="0.3">
      <c r="A5" s="15" t="s">
        <v>761</v>
      </c>
      <c r="B5" s="16">
        <v>42.491820504394724</v>
      </c>
    </row>
    <row r="6" spans="1:2" x14ac:dyDescent="0.3">
      <c r="A6" s="15" t="s">
        <v>757</v>
      </c>
      <c r="B6" s="16">
        <v>44.099887055615945</v>
      </c>
    </row>
    <row r="7" spans="1:2" x14ac:dyDescent="0.3">
      <c r="A7" s="15" t="s">
        <v>777</v>
      </c>
      <c r="B7" s="16">
        <v>43.588489557285733</v>
      </c>
    </row>
  </sheetData>
  <conditionalFormatting pivot="1" sqref="B2:B6">
    <cfRule type="colorScale" priority="1">
      <colorScale>
        <cfvo type="min"/>
        <cfvo type="percentile" val="50"/>
        <cfvo type="max"/>
        <color rgb="FF63BE7B"/>
        <color rgb="FFFFEB84"/>
        <color rgb="FFF8696B"/>
      </colorScale>
    </cfRule>
  </conditionalFormatting>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_activity xmlns="a4efe3e0-855d-4c7a-be8e-5b6928f1a34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32EB2875A03554D8EAAA3789DE20207" ma:contentTypeVersion="20" ma:contentTypeDescription="Create a new document." ma:contentTypeScope="" ma:versionID="57617db0dbae4bec5b3cc7a97f7f37a2">
  <xsd:schema xmlns:xsd="http://www.w3.org/2001/XMLSchema" xmlns:xs="http://www.w3.org/2001/XMLSchema" xmlns:p="http://schemas.microsoft.com/office/2006/metadata/properties" xmlns:ns1="http://schemas.microsoft.com/sharepoint/v3" xmlns:ns3="9ba52bc2-04dd-47cd-bae1-9a11d8887686" xmlns:ns4="a4efe3e0-855d-4c7a-be8e-5b6928f1a344" targetNamespace="http://schemas.microsoft.com/office/2006/metadata/properties" ma:root="true" ma:fieldsID="dab11f5a228710bf84ffba960ea8fcb1" ns1:_="" ns3:_="" ns4:_="">
    <xsd:import namespace="http://schemas.microsoft.com/sharepoint/v3"/>
    <xsd:import namespace="9ba52bc2-04dd-47cd-bae1-9a11d8887686"/>
    <xsd:import namespace="a4efe3e0-855d-4c7a-be8e-5b6928f1a344"/>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DateTaken" minOccurs="0"/>
                <xsd:element ref="ns4:MediaServiceAutoTags" minOccurs="0"/>
                <xsd:element ref="ns4:MediaServiceOCR" minOccurs="0"/>
                <xsd:element ref="ns4:MediaServiceGenerationTime" minOccurs="0"/>
                <xsd:element ref="ns4:MediaServiceEventHashCode" minOccurs="0"/>
                <xsd:element ref="ns1:_ip_UnifiedCompliancePolicyProperties" minOccurs="0"/>
                <xsd:element ref="ns1:_ip_UnifiedCompliancePolicyUIAction" minOccurs="0"/>
                <xsd:element ref="ns4:MediaServiceLocation" minOccurs="0"/>
                <xsd:element ref="ns4:MediaLengthInSeconds" minOccurs="0"/>
                <xsd:element ref="ns4:_activity" minOccurs="0"/>
                <xsd:element ref="ns4:MediaServiceObjectDetectorVersions" minOccurs="0"/>
                <xsd:element ref="ns4:MediaServiceSystemTag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ba52bc2-04dd-47cd-bae1-9a11d8887686"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SharingHintHash" ma:index="10" nillable="true" ma:displayName="Sharing Hint Hash" ma:description=""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4efe3e0-855d-4c7a-be8e-5b6928f1a344"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description="" ma:hidden="true" ma:indexed="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2" nillable="true" ma:displayName="Location" ma:description="" ma:indexed="true" ma:internalName="MediaServiceLocation" ma:readOnly="true">
      <xsd:simpleType>
        <xsd:restriction base="dms:Text"/>
      </xsd:simpleType>
    </xsd:element>
    <xsd:element name="MediaLengthInSeconds" ma:index="23" nillable="true" ma:displayName="Length (seconds)" ma:internalName="MediaLengthInSeconds" ma:readOnly="true">
      <xsd:simpleType>
        <xsd:restriction base="dms:Unknown"/>
      </xsd:simpleType>
    </xsd:element>
    <xsd:element name="_activity" ma:index="24" nillable="true" ma:displayName="_activity" ma:hidden="true" ma:internalName="_activity">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ystemTags" ma:index="26" nillable="true" ma:displayName="MediaServiceSystemTags" ma:hidden="true" ma:internalName="MediaServiceSystemTags" ma:readOnly="true">
      <xsd:simpleType>
        <xsd:restriction base="dms:Note"/>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6D3914B-9CA7-4361-BF76-DF94228C5D69}">
  <ds:schemaRefs>
    <ds:schemaRef ds:uri="a4efe3e0-855d-4c7a-be8e-5b6928f1a344"/>
    <ds:schemaRef ds:uri="http://purl.org/dc/terms/"/>
    <ds:schemaRef ds:uri="http://schemas.microsoft.com/office/2006/metadata/properties"/>
    <ds:schemaRef ds:uri="http://purl.org/dc/elements/1.1/"/>
    <ds:schemaRef ds:uri="http://schemas.openxmlformats.org/package/2006/metadata/core-properties"/>
    <ds:schemaRef ds:uri="http://purl.org/dc/dcmitype/"/>
    <ds:schemaRef ds:uri="http://schemas.microsoft.com/sharepoint/v3"/>
    <ds:schemaRef ds:uri="http://schemas.microsoft.com/office/infopath/2007/PartnerControls"/>
    <ds:schemaRef ds:uri="http://schemas.microsoft.com/office/2006/documentManagement/types"/>
    <ds:schemaRef ds:uri="9ba52bc2-04dd-47cd-bae1-9a11d8887686"/>
    <ds:schemaRef ds:uri="http://www.w3.org/XML/1998/namespace"/>
  </ds:schemaRefs>
</ds:datastoreItem>
</file>

<file path=customXml/itemProps2.xml><?xml version="1.0" encoding="utf-8"?>
<ds:datastoreItem xmlns:ds="http://schemas.openxmlformats.org/officeDocument/2006/customXml" ds:itemID="{0458D1D4-DF17-4866-A9F4-8F8C14A91F35}">
  <ds:schemaRefs>
    <ds:schemaRef ds:uri="http://schemas.microsoft.com/sharepoint/v3/contenttype/forms"/>
  </ds:schemaRefs>
</ds:datastoreItem>
</file>

<file path=customXml/itemProps3.xml><?xml version="1.0" encoding="utf-8"?>
<ds:datastoreItem xmlns:ds="http://schemas.openxmlformats.org/officeDocument/2006/customXml" ds:itemID="{A840AE57-6314-4C57-9344-5FD52F37803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ba52bc2-04dd-47cd-bae1-9a11d8887686"/>
    <ds:schemaRef ds:uri="a4efe3e0-855d-4c7a-be8e-5b6928f1a34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 Description</vt:lpstr>
      <vt:lpstr>EcoCharge Solutions Dataset</vt:lpstr>
      <vt:lpstr>Dashboard</vt:lpstr>
      <vt:lpstr>Chart 1</vt:lpstr>
      <vt:lpstr>Chart 2</vt:lpstr>
      <vt:lpstr>Chart 3</vt:lpstr>
      <vt:lpstr>Chart 4</vt:lpstr>
      <vt:lpstr>Chart 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Ishan Senarathna</dc:creator>
  <cp:lastModifiedBy>Thông Lê Hoàng Triết</cp:lastModifiedBy>
  <dcterms:created xsi:type="dcterms:W3CDTF">2024-11-11T05:29:00Z</dcterms:created>
  <dcterms:modified xsi:type="dcterms:W3CDTF">2025-11-25T07:51:14Z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0x010100E32EB2875A03554D8EAAA3789DE20207</vt:lpwstr>
  </property>
</Properties>
</file>